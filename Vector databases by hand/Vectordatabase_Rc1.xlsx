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https://o365coloradoedu-my.sharepoint.com/personal/peye9704_colorado_edu/Documents/2024/Talks/SingleStore/11.21.2024 - Vector Database in Excel/"/>
    </mc:Choice>
  </mc:AlternateContent>
  <xr:revisionPtr revIDLastSave="39" documentId="8_{D0CFB484-25BC-466D-9460-DA29EC3256D1}" xr6:coauthVersionLast="47" xr6:coauthVersionMax="47" xr10:uidLastSave="{0922D24B-6F48-9341-AFBD-241EC9DCB050}"/>
  <bookViews>
    <workbookView xWindow="9520" yWindow="2300" windowWidth="34260" windowHeight="23840" xr2:uid="{05DEE41E-071A-4C54-ADC8-FC8428CBB83C}"/>
  </bookViews>
  <sheets>
    <sheet name="rc1" sheetId="5" r:id="rId1"/>
    <sheet name="LICENSE" sheetId="6" r:id="rId2"/>
  </sheets>
  <externalReferences>
    <externalReference r:id="rId3"/>
    <externalReference r:id="rId4"/>
    <externalReference r:id="rId5"/>
  </externalReferences>
  <definedNames>
    <definedName name="_alpha1">'[1]ReLU vs. LeakyReLU'!$H$5</definedName>
    <definedName name="_alpha2">'[1]ReLU vs. LeakyReLU'!#REF!</definedName>
    <definedName name="_dk">[2]small!$E$7</definedName>
    <definedName name="CHUNK">_xlfn.LAMBDA(_xlpm.array,_xlpm.chunk_size,_xlpm.overlap, _xlfn.LET( _xlpm.n,COUNTA(_xlpm.array), _xlpm.w, _xlpm.chunk_size, _xlpm.h, FLOOR(_xlpm.n / _xlpm.chunk_size, 1), _xlpm.stride, _xlpm.chunk_size - _xlpm.overlap, _xlfn.MAKEARRAY(_xlpm.h, _xlpm.w, _xlfn.LAMBDA(_xlpm.i,_xlpm.j, _xlfn.LET(_xlpm.t, (_xlpm.i-1) * _xlpm.stride, INDEX(_xlpm.array,_xlpm.t+_xlpm.j))))))</definedName>
    <definedName name="widt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77" i="5" l="1"/>
  <c r="BM7" i="5" a="1"/>
  <c r="BM7" i="5" s="1"/>
  <c r="AS77" i="5"/>
  <c r="AJ77" i="5"/>
  <c r="AA77" i="5"/>
  <c r="K12" i="5" a="1"/>
  <c r="K12" i="5" s="1"/>
  <c r="A10" i="5" a="1"/>
  <c r="A10" i="5" s="1"/>
  <c r="B10" i="5" s="1" a="1"/>
  <c r="B10" i="5" s="1"/>
  <c r="C10" i="5" l="1" a="1"/>
  <c r="C10" i="5" s="1"/>
  <c r="D10" i="5" s="1" a="1"/>
  <c r="D10" i="5" s="1"/>
  <c r="BN8" i="5" s="1" a="1"/>
  <c r="BN8" i="5" s="1"/>
  <c r="L12" i="5" a="1"/>
  <c r="L12" i="5" s="1"/>
  <c r="BM8" i="5" l="1" a="1"/>
  <c r="BM8" i="5" s="1"/>
  <c r="BB7" i="5" a="1"/>
  <c r="AJ7" i="5" a="1"/>
  <c r="AJ7" i="5" s="1"/>
  <c r="AA7" i="5" a="1"/>
  <c r="AA7" i="5" s="1"/>
  <c r="AA78" i="5" s="1" a="1"/>
  <c r="AA78" i="5" s="1"/>
  <c r="AS7" i="5" a="1"/>
  <c r="AS7" i="5" s="1"/>
  <c r="BO8" i="5" a="1"/>
  <c r="BO8" i="5" s="1"/>
  <c r="BM14" i="5" l="1" a="1"/>
  <c r="BD8" i="5" a="1"/>
  <c r="BD8" i="5" s="1"/>
  <c r="BB7" i="5"/>
  <c r="BC8" i="5" a="1"/>
  <c r="BC8" i="5" s="1"/>
  <c r="AB8" i="5" a="1"/>
  <c r="AB8" i="5" s="1"/>
  <c r="AC8" i="5" a="1"/>
  <c r="AC8" i="5" s="1"/>
  <c r="AK8" i="5" a="1"/>
  <c r="AK8" i="5" s="1"/>
  <c r="AJ78" i="5" a="1"/>
  <c r="AJ78" i="5" s="1"/>
  <c r="AL8" i="5" a="1"/>
  <c r="AL8" i="5" s="1"/>
  <c r="AS78" i="5" a="1"/>
  <c r="AS78" i="5" s="1"/>
  <c r="AU8" i="5" a="1"/>
  <c r="AU8" i="5" s="1"/>
  <c r="AT8" i="5" a="1"/>
  <c r="AT8" i="5" s="1"/>
  <c r="AA8" i="5" a="1"/>
  <c r="AA8" i="5" s="1"/>
  <c r="BB8" i="5" l="1" a="1"/>
  <c r="BB8" i="5" s="1"/>
  <c r="BB14" i="5" s="1" a="1"/>
  <c r="BB78" i="5" a="1"/>
  <c r="BB78" i="5" s="1"/>
  <c r="BM14" i="5"/>
  <c r="BM25" i="5"/>
  <c r="BM22" i="5"/>
  <c r="BM26" i="5"/>
  <c r="BM23" i="5"/>
  <c r="BM24" i="5"/>
  <c r="AA14" i="5" a="1"/>
  <c r="AA23" i="5" s="1"/>
  <c r="BO21" i="5"/>
  <c r="BO22" i="5"/>
  <c r="BO23" i="5"/>
  <c r="BN21" i="5"/>
  <c r="BO24" i="5"/>
  <c r="BO25" i="5"/>
  <c r="BN25" i="5"/>
  <c r="BN22" i="5"/>
  <c r="BN26" i="5"/>
  <c r="BO26" i="5"/>
  <c r="BN23" i="5"/>
  <c r="BN24" i="5"/>
  <c r="AS8" i="5" a="1"/>
  <c r="AS8" i="5" s="1"/>
  <c r="AS14" i="5" s="1" a="1"/>
  <c r="AJ8" i="5" a="1"/>
  <c r="AJ8" i="5" s="1"/>
  <c r="AJ14" i="5" s="1" a="1"/>
  <c r="BM21" i="5" l="1"/>
  <c r="BM28" i="5" s="1" a="1"/>
  <c r="BM28" i="5" s="1"/>
  <c r="BM43" i="5" a="1"/>
  <c r="BM43" i="5" s="1"/>
  <c r="BM52" i="5" s="1" a="1"/>
  <c r="BM52" i="5" s="1"/>
  <c r="BM56" i="5" s="1" a="1"/>
  <c r="BM56" i="5" s="1"/>
  <c r="BM58" i="5" s="1" a="1"/>
  <c r="BM58" i="5" s="1"/>
  <c r="BM67" i="5" s="1" a="1"/>
  <c r="BM67" i="5" s="1"/>
  <c r="CL15" i="5" s="1" a="1"/>
  <c r="CL15" i="5" s="1"/>
  <c r="BC25" i="5"/>
  <c r="BC21" i="5"/>
  <c r="BD23" i="5"/>
  <c r="BC23" i="5"/>
  <c r="BD26" i="5"/>
  <c r="BC26" i="5"/>
  <c r="BB26" i="5"/>
  <c r="BB25" i="5"/>
  <c r="BD25" i="5"/>
  <c r="BD24" i="5"/>
  <c r="BB14" i="5"/>
  <c r="BC24" i="5"/>
  <c r="BB24" i="5"/>
  <c r="BB23" i="5"/>
  <c r="BD22" i="5"/>
  <c r="BC22" i="5"/>
  <c r="BB22" i="5"/>
  <c r="BD21" i="5"/>
  <c r="AA24" i="5"/>
  <c r="AA26" i="5"/>
  <c r="AB21" i="5"/>
  <c r="AB22" i="5"/>
  <c r="AB23" i="5"/>
  <c r="AB24" i="5"/>
  <c r="AA25" i="5"/>
  <c r="AC22" i="5"/>
  <c r="AC26" i="5"/>
  <c r="AC24" i="5"/>
  <c r="AC21" i="5"/>
  <c r="AA14" i="5"/>
  <c r="AA43" i="5" s="1" a="1"/>
  <c r="AA43" i="5" s="1"/>
  <c r="AA52" i="5" s="1" a="1"/>
  <c r="AA52" i="5" s="1"/>
  <c r="AA56" i="5" s="1" a="1"/>
  <c r="AA56" i="5" s="1"/>
  <c r="AA58" i="5" s="1" a="1"/>
  <c r="AA58" i="5" s="1"/>
  <c r="AA67" i="5" s="1" a="1"/>
  <c r="AA67" i="5" s="1"/>
  <c r="AB25" i="5"/>
  <c r="AC23" i="5"/>
  <c r="AB26" i="5"/>
  <c r="AC25" i="5"/>
  <c r="AA22" i="5"/>
  <c r="AL25" i="5"/>
  <c r="AL23" i="5"/>
  <c r="AL21" i="5"/>
  <c r="AK25" i="5"/>
  <c r="AK21" i="5"/>
  <c r="AJ25" i="5"/>
  <c r="AJ23" i="5"/>
  <c r="AK23" i="5"/>
  <c r="AL22" i="5"/>
  <c r="AJ14" i="5"/>
  <c r="AL24" i="5"/>
  <c r="AL26" i="5"/>
  <c r="AK24" i="5"/>
  <c r="AK22" i="5"/>
  <c r="AK26" i="5"/>
  <c r="AJ24" i="5"/>
  <c r="AJ22" i="5"/>
  <c r="AJ26" i="5"/>
  <c r="AS14" i="5"/>
  <c r="AT26" i="5"/>
  <c r="AU26" i="5"/>
  <c r="AU25" i="5"/>
  <c r="AU24" i="5"/>
  <c r="AU23" i="5"/>
  <c r="AU22" i="5"/>
  <c r="AU21" i="5"/>
  <c r="AT25" i="5"/>
  <c r="AS23" i="5"/>
  <c r="AS24" i="5"/>
  <c r="AS22" i="5"/>
  <c r="AS26" i="5"/>
  <c r="AT24" i="5"/>
  <c r="AT22" i="5"/>
  <c r="AT23" i="5"/>
  <c r="AT21" i="5"/>
  <c r="AS25" i="5"/>
  <c r="BB43" i="5" l="1" a="1"/>
  <c r="BB43" i="5" s="1"/>
  <c r="BB52" i="5" s="1" a="1"/>
  <c r="BB52" i="5" s="1"/>
  <c r="BB56" i="5" s="1" a="1"/>
  <c r="BB56" i="5" s="1"/>
  <c r="BB58" i="5" s="1" a="1"/>
  <c r="BB58" i="5" s="1"/>
  <c r="BB67" i="5" s="1" a="1"/>
  <c r="BB67" i="5" s="1"/>
  <c r="BB81" i="5" s="1" a="1"/>
  <c r="BB81" i="5" s="1"/>
  <c r="BY27" i="5" s="1" a="1"/>
  <c r="BY27" i="5" s="1"/>
  <c r="BB21" i="5"/>
  <c r="BB28" i="5" s="1" a="1"/>
  <c r="BB28" i="5" s="1"/>
  <c r="AA21" i="5"/>
  <c r="AA28" i="5" s="1" a="1"/>
  <c r="AA28" i="5" s="1"/>
  <c r="AA81" i="5" a="1"/>
  <c r="AA81" i="5" s="1"/>
  <c r="BY24" i="5" s="1" a="1"/>
  <c r="BY24" i="5" s="1"/>
  <c r="AJ21" i="5"/>
  <c r="AJ28" i="5" s="1" a="1"/>
  <c r="AJ28" i="5" s="1"/>
  <c r="AJ43" i="5" a="1"/>
  <c r="AJ43" i="5" s="1"/>
  <c r="AJ52" i="5" s="1" a="1"/>
  <c r="AJ52" i="5" s="1"/>
  <c r="AJ56" i="5" s="1" a="1"/>
  <c r="AJ56" i="5" s="1"/>
  <c r="AJ58" i="5" s="1" a="1"/>
  <c r="AJ58" i="5" s="1"/>
  <c r="AJ67" i="5" s="1" a="1"/>
  <c r="AJ67" i="5" s="1"/>
  <c r="AS43" i="5" a="1"/>
  <c r="AS43" i="5" s="1"/>
  <c r="AS52" i="5" s="1" a="1"/>
  <c r="AS52" i="5" s="1"/>
  <c r="AS56" i="5" s="1" a="1"/>
  <c r="AS56" i="5" s="1"/>
  <c r="AS58" i="5" s="1" a="1"/>
  <c r="AS58" i="5" s="1"/>
  <c r="AS67" i="5" s="1" a="1"/>
  <c r="AS67" i="5" s="1"/>
  <c r="AS21" i="5"/>
  <c r="AS28" i="5" s="1" a="1"/>
  <c r="AS28" i="5" s="1"/>
  <c r="BB32" i="5" l="1" a="1"/>
  <c r="BB32" i="5" s="1"/>
  <c r="BB36" i="5" s="1" a="1"/>
  <c r="BB36" i="5" s="1"/>
  <c r="BM32" i="5" a="1"/>
  <c r="BM32" i="5" s="1"/>
  <c r="BM36" i="5" s="1" a="1"/>
  <c r="BM36" i="5" s="1"/>
  <c r="AJ32" i="5" a="1"/>
  <c r="AJ32" i="5" s="1"/>
  <c r="AJ36" i="5" s="1" a="1"/>
  <c r="AJ36" i="5" s="1"/>
  <c r="AA32" i="5" a="1"/>
  <c r="AA32" i="5" s="1"/>
  <c r="AA36" i="5" s="1" a="1"/>
  <c r="AA36" i="5" s="1"/>
  <c r="AS32" i="5" a="1"/>
  <c r="AS32" i="5" s="1"/>
  <c r="AS36" i="5" s="1" a="1"/>
  <c r="AS36" i="5" s="1"/>
  <c r="AS81" i="5" a="1"/>
  <c r="AS81" i="5" s="1"/>
  <c r="BY26" i="5" s="1" a="1"/>
  <c r="BY26" i="5" s="1"/>
  <c r="AJ81" i="5" a="1"/>
  <c r="AJ81" i="5" s="1"/>
  <c r="BY25" i="5" s="1" a="1"/>
  <c r="BY25" i="5" s="1"/>
  <c r="CL24" i="5" l="1" a="1"/>
  <c r="CL24" i="5" s="1"/>
  <c r="CP24" i="5" s="1" a="1"/>
  <c r="CP24"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<sst xmlns="http://schemas.openxmlformats.org/spreadsheetml/2006/main" count="72" uniqueCount="52">
  <si>
    <t>Christmas brings joy, love, and warmth. Families gather, sharing gifts, laughter, and stories by cozy fires. Lights twinkle, trees sparkle, songs fill hearts, spreading cheer. Snow blankets streets, transforming towns into winter wonderlands. Children eagerly await Santa, dreaming of surprises beneath decorated trees. Cookies baked, cocoa poured, traditions kept. Smiles, hugs, and memories are shared, creating bonds strong and lasting. Togetherness shines brightly, lifting spirits high.</t>
  </si>
  <si>
    <t>Tokens</t>
  </si>
  <si>
    <t>Unique Words</t>
  </si>
  <si>
    <t>Sorted</t>
  </si>
  <si>
    <t>Cleaned</t>
  </si>
  <si>
    <t>All Chunks</t>
  </si>
  <si>
    <t>Input Text</t>
  </si>
  <si>
    <t>Word Embeddings</t>
  </si>
  <si>
    <t>Chunk ID</t>
  </si>
  <si>
    <t>Words</t>
  </si>
  <si>
    <t>L2 Norm</t>
  </si>
  <si>
    <t>Transpose</t>
  </si>
  <si>
    <t>Sentence Embedding</t>
  </si>
  <si>
    <t>Vocabulary</t>
  </si>
  <si>
    <t>Attention</t>
  </si>
  <si>
    <t>Linear</t>
  </si>
  <si>
    <t>ReLU</t>
  </si>
  <si>
    <t>Chunking</t>
  </si>
  <si>
    <t>Vector Embedding</t>
  </si>
  <si>
    <t>Train Embedding</t>
  </si>
  <si>
    <t>Vector Database</t>
  </si>
  <si>
    <t>Embedding</t>
  </si>
  <si>
    <t>ID</t>
  </si>
  <si>
    <t>Chunk</t>
  </si>
  <si>
    <t>Query</t>
  </si>
  <si>
    <t>Sort by Scores</t>
  </si>
  <si>
    <t>Rank</t>
  </si>
  <si>
    <t>(descending order)</t>
  </si>
  <si>
    <t>Chunk size</t>
  </si>
  <si>
    <t>Overlap</t>
  </si>
  <si>
    <t>Index</t>
  </si>
  <si>
    <t>✎</t>
  </si>
  <si>
    <t>joy</t>
  </si>
  <si>
    <t>christmas</t>
  </si>
  <si>
    <t>gifts</t>
  </si>
  <si>
    <t>MIT License</t>
  </si>
  <si>
    <t>Copyright (c) 2024 Tom Yeh</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</si>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</sst>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20"/>
      <color theme="1"/>
      <name val="Aptos Narrow"/>
      <family val="2"/>
      <scheme val="minor"/>
    </font>
    <font>
      <sz val="16"/>
      <color theme="1"/>
      <name val="Aptos Narrow"/>
      <family val="2"/>
      <scheme val="minor"/>
    </font>
    <font>
      <sz val="10"/>
      <color rgb="FF000000"/>
      <name val="Aptos Narrow"/>
      <family val="2"/>
      <scheme val="minor"/>
    </font>
    <font>
      <sz val="12"/>
      <color rgb="FF000000"/>
      <name val="Aptos Narrow"/>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55">
    <xf numFmtId="0" fontId="0" fillId="0" borderId="0" xfId="0"/>
    <xf numFmtId="0" fontId="1" fillId="0" borderId="0" xfId="0" applyFont="1"/>
    <xf numFmtId="0" fontId="0" fillId="0" borderId="0" xfId="0" applyAlignment="1">
      <alignment wrapText="1"/>
    </xf>
    <xf numFmtId="0" fontId="0" fillId="0" borderId="0" xfId="0" applyAlignment="1">
      <alignment horizontal="center" wrapText="1"/>
    </xf>
    <xf numFmtId="0" fontId="1" fillId="0" borderId="0" xfId="0" applyFont="1" applyAlignment="1">
      <alignment horizontal="left" wrapText="1"/>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2" xfId="0" applyFill="1" applyBorder="1" applyAlignment="1">
      <alignment horizontal="center"/>
    </xf>
    <xf numFmtId="0" fontId="0" fillId="0" borderId="0" xfId="0"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1" fillId="0" borderId="0" xfId="0" applyFont="1" applyAlignment="1">
      <alignment horizontal="center"/>
    </xf>
    <xf numFmtId="0" fontId="0" fillId="5" borderId="5" xfId="0" applyFill="1" applyBorder="1"/>
    <xf numFmtId="0" fontId="0" fillId="5" borderId="6" xfId="0" applyFill="1" applyBorder="1"/>
    <xf numFmtId="0" fontId="0" fillId="6" borderId="5" xfId="0" applyFill="1" applyBorder="1"/>
    <xf numFmtId="0" fontId="0" fillId="6" borderId="6" xfId="0" applyFill="1" applyBorder="1"/>
    <xf numFmtId="0" fontId="0" fillId="6" borderId="7" xfId="0" applyFill="1" applyBorder="1"/>
    <xf numFmtId="0" fontId="0" fillId="0" borderId="1" xfId="0" applyBorder="1" applyAlignment="1">
      <alignment horizontal="center"/>
    </xf>
    <xf numFmtId="0" fontId="2" fillId="0" borderId="0" xfId="0" applyFont="1"/>
    <xf numFmtId="0" fontId="0" fillId="8" borderId="2" xfId="0" applyFill="1" applyBorder="1"/>
    <xf numFmtId="0" fontId="0" fillId="8" borderId="3" xfId="0" applyFill="1" applyBorder="1"/>
    <xf numFmtId="0" fontId="0" fillId="8" borderId="4" xfId="0" applyFill="1" applyBorder="1"/>
    <xf numFmtId="0" fontId="0" fillId="8" borderId="2" xfId="0"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0" fillId="7" borderId="1" xfId="0" applyFill="1" applyBorder="1"/>
    <xf numFmtId="0" fontId="0" fillId="6" borderId="1" xfId="0" applyFill="1" applyBorder="1" applyAlignment="1">
      <alignment horizontal="center" textRotation="90"/>
    </xf>
    <xf numFmtId="0" fontId="0" fillId="9" borderId="1" xfId="0" applyFill="1" applyBorder="1" applyAlignment="1">
      <alignment horizontal="center" textRotation="90"/>
    </xf>
    <xf numFmtId="0" fontId="3" fillId="0" borderId="0" xfId="0" applyFont="1" applyAlignment="1">
      <alignment horizontal="center" wrapText="1"/>
    </xf>
    <xf numFmtId="0" fontId="0" fillId="0" borderId="0" xfId="0" applyAlignment="1">
      <alignment horizontal="right"/>
    </xf>
    <xf numFmtId="0" fontId="0" fillId="9" borderId="1" xfId="0" applyFill="1" applyBorder="1"/>
    <xf numFmtId="0" fontId="0" fillId="5" borderId="7" xfId="0" applyFill="1" applyBorder="1"/>
    <xf numFmtId="0" fontId="0" fillId="0" borderId="1" xfId="0" applyBorder="1"/>
    <xf numFmtId="0" fontId="0" fillId="6" borderId="2" xfId="0" applyFill="1" applyBorder="1"/>
    <xf numFmtId="0" fontId="0" fillId="6" borderId="3" xfId="0" applyFill="1" applyBorder="1"/>
    <xf numFmtId="0" fontId="0" fillId="6" borderId="4" xfId="0" applyFill="1" applyBorder="1"/>
    <xf numFmtId="0" fontId="0" fillId="5" borderId="2" xfId="0" applyFill="1" applyBorder="1"/>
    <xf numFmtId="0" fontId="0" fillId="5" borderId="3" xfId="0" applyFill="1" applyBorder="1"/>
    <xf numFmtId="0" fontId="0" fillId="5" borderId="4" xfId="0" applyFill="1" applyBorder="1"/>
    <xf numFmtId="0" fontId="0" fillId="0" borderId="0" xfId="0" applyAlignment="1">
      <alignment horizontal="left" wrapText="1"/>
    </xf>
    <xf numFmtId="0" fontId="5" fillId="0" borderId="0" xfId="1" applyFont="1" applyAlignment="1">
      <alignment wrapText="1"/>
    </xf>
    <xf numFmtId="0" fontId="5" fillId="0" borderId="0" xfId="1" applyFont="1"/>
    <xf numFmtId="0" fontId="5" fillId="0" borderId="0" xfId="1" applyFont="1" applyAlignment="1">
      <alignment horizontal="left" wrapText="1"/>
    </xf>
  </cellXfs>
  <cellStyles count="2">
    <cellStyle name="Normal" xfId="0" builtinId="0"/>
    <cellStyle name="Normal 2" xfId="1" xr:uid="{9DD9098B-F8BD-1841-8E9D-AC8D01CE2C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252412</xdr:colOff>
      <xdr:row>9</xdr:row>
      <xdr:rowOff>148024</xdr:rowOff>
    </xdr:from>
    <xdr:to>
      <xdr:col>25</xdr:col>
      <xdr:colOff>86376</xdr:colOff>
      <xdr:row>74</xdr:row>
      <xdr:rowOff>51486</xdr:rowOff>
    </xdr:to>
    <xdr:sp macro="" textlink="">
      <xdr:nvSpPr>
        <xdr:cNvPr id="2" name="Rectangle 1">
          <a:extLst>
            <a:ext uri="{FF2B5EF4-FFF2-40B4-BE49-F238E27FC236}">
              <a16:creationId xmlns:a16="http://schemas.microsoft.com/office/drawing/2014/main" id="{829949C4-23F9-4C08-AAC4-EF770C8C8B92}"/>
            </a:ext>
          </a:extLst>
        </xdr:cNvPr>
        <xdr:cNvSpPr/>
      </xdr:nvSpPr>
      <xdr:spPr>
        <a:xfrm>
          <a:off x="9201150" y="2362587"/>
          <a:ext cx="3882089" cy="116668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a:solidFill>
                <a:sysClr val="windowText" lastClr="000000"/>
              </a:solidFill>
            </a:rPr>
            <a:t>Sentence Transformer</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basic/LeakyReLU.xlsx" TargetMode="External"/><Relationship Id="rId1" Type="http://schemas.openxmlformats.org/officeDocument/2006/relationships/externalLinkPath" Target="/personal/peye9704_colorado_edu/Documents/2024/AIbyHand/spreadsheets/github/ai-by-hand-excel/basic/LeakyReLU.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advanced/Self-Attention.xlsx" TargetMode="External"/><Relationship Id="rId1" Type="http://schemas.openxmlformats.org/officeDocument/2006/relationships/externalLinkPath" Target="/Users/tom/Library/CloudStorage/OneDrive-UCB-O365/2024/AIbyHand/spreadsheets/github/ai-by-hand-excel/advanced/Self-Atten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advanced/Autoencoder.xlsx" TargetMode="External"/><Relationship Id="rId1" Type="http://schemas.openxmlformats.org/officeDocument/2006/relationships/externalLinkPath" Target="/personal/peye9704_colorado_edu/Documents/2024/AIbyHand/spreadsheets/github/ai-by-hand-excel/advanced/Autoencod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U vs. LeakyReLU"/>
      <sheetName val="LICENSE"/>
    </sheetNames>
    <sheetDataSet>
      <sheetData sheetId="0">
        <row r="5">
          <cell r="H5">
            <v>0.1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sheetName val="medium"/>
      <sheetName val="large"/>
      <sheetName val="LICENSE"/>
    </sheetNames>
    <sheetDataSet>
      <sheetData sheetId="0">
        <row r="7">
          <cell r="E7">
            <v>3</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sheetName val="medium"/>
      <sheetName val="LICENS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ABFB-778E-49AF-BD15-A4763EE49ABC}">
  <dimension ref="A2:CS126"/>
  <sheetViews>
    <sheetView tabSelected="1" zoomScale="120" zoomScaleNormal="120" workbookViewId="0">
      <selection activeCell="X57" sqref="X57"/>
    </sheetView>
  </sheetViews>
  <sheetFormatPr baseColWidth="10" defaultColWidth="5.6640625" defaultRowHeight="15" x14ac:dyDescent="0.2"/>
  <cols>
    <col min="1" max="2" width="11.33203125" customWidth="1"/>
    <col min="3" max="3" width="11.6640625" customWidth="1"/>
    <col min="4" max="4" width="14.33203125" customWidth="1"/>
    <col min="11" max="11" width="6.5" bestFit="1" customWidth="1"/>
    <col min="12" max="12" width="10.83203125" bestFit="1" customWidth="1"/>
    <col min="13" max="13" width="8.6640625" bestFit="1" customWidth="1"/>
    <col min="14" max="14" width="11" bestFit="1" customWidth="1"/>
    <col min="15" max="15" width="8.33203125" bestFit="1" customWidth="1"/>
    <col min="17" max="21" width="5.6640625" customWidth="1"/>
    <col min="27" max="27" width="5.6640625" customWidth="1"/>
    <col min="31" max="31" width="6.5" bestFit="1" customWidth="1"/>
    <col min="77" max="77" width="6.5" bestFit="1" customWidth="1"/>
  </cols>
  <sheetData>
    <row r="2" spans="1:92" ht="27" x14ac:dyDescent="0.35">
      <c r="A2" s="30" t="s">
        <v>19</v>
      </c>
      <c r="K2" s="30" t="s">
        <v>17</v>
      </c>
      <c r="R2" s="30" t="s">
        <v>18</v>
      </c>
      <c r="BX2" s="30" t="s">
        <v>20</v>
      </c>
    </row>
    <row r="3" spans="1:92" x14ac:dyDescent="0.2">
      <c r="K3" s="1"/>
      <c r="R3" s="1"/>
    </row>
    <row r="4" spans="1:92" x14ac:dyDescent="0.2">
      <c r="A4" s="1" t="s">
        <v>6</v>
      </c>
    </row>
    <row r="5" spans="1:92" ht="14.25" customHeight="1" x14ac:dyDescent="0.2">
      <c r="A5" s="51" t="s">
        <v>0</v>
      </c>
      <c r="B5" s="51"/>
      <c r="C5" s="51"/>
      <c r="D5" s="51"/>
      <c r="E5" s="51"/>
      <c r="F5" s="51"/>
      <c r="G5" s="51"/>
      <c r="H5" s="51"/>
      <c r="I5" s="51"/>
      <c r="J5" s="51"/>
      <c r="K5" s="3"/>
      <c r="L5" s="3"/>
      <c r="M5" s="3"/>
      <c r="N5" s="3"/>
      <c r="O5" s="3"/>
      <c r="P5" s="2"/>
      <c r="Q5" s="2"/>
    </row>
    <row r="6" spans="1:92" x14ac:dyDescent="0.2">
      <c r="A6" s="51"/>
      <c r="B6" s="51"/>
      <c r="C6" s="51"/>
      <c r="D6" s="51"/>
      <c r="E6" s="51"/>
      <c r="F6" s="51"/>
      <c r="G6" s="51"/>
      <c r="H6" s="51"/>
      <c r="I6" s="51"/>
      <c r="J6" s="51"/>
      <c r="K6" s="3"/>
      <c r="L6" s="2"/>
      <c r="M6" s="3"/>
      <c r="N6" s="3"/>
      <c r="O6" s="3"/>
      <c r="P6" s="2"/>
      <c r="Q6" s="2"/>
      <c r="X6" s="1" t="s">
        <v>8</v>
      </c>
      <c r="Y6" s="1"/>
      <c r="AA6" s="9">
        <v>1</v>
      </c>
      <c r="AB6" s="9"/>
      <c r="AC6" s="9"/>
      <c r="AJ6" s="9">
        <v>2</v>
      </c>
      <c r="AK6" s="9"/>
      <c r="AL6" s="9"/>
      <c r="AS6" s="9">
        <v>3</v>
      </c>
      <c r="AT6" s="9"/>
      <c r="AU6" s="9"/>
      <c r="BB6" s="9">
        <v>4</v>
      </c>
      <c r="BC6" s="9"/>
      <c r="BD6" s="9"/>
      <c r="BM6" s="9" t="s">
        <v>24</v>
      </c>
      <c r="BN6" s="9"/>
      <c r="BO6" s="9"/>
    </row>
    <row r="7" spans="1:92" ht="48" customHeight="1" x14ac:dyDescent="0.3">
      <c r="A7" s="51"/>
      <c r="B7" s="51"/>
      <c r="C7" s="51"/>
      <c r="D7" s="51"/>
      <c r="E7" s="51"/>
      <c r="F7" s="51"/>
      <c r="G7" s="51"/>
      <c r="H7" s="51"/>
      <c r="I7" s="51"/>
      <c r="J7" s="51"/>
      <c r="K7" s="1" t="s">
        <v>5</v>
      </c>
      <c r="L7" s="3"/>
      <c r="M7" s="40"/>
      <c r="N7" s="3"/>
      <c r="O7" s="3"/>
      <c r="P7" s="2"/>
      <c r="Q7" s="2"/>
      <c r="X7" s="1" t="s">
        <v>9</v>
      </c>
      <c r="Y7" s="1"/>
      <c r="AA7" s="38" t="str" cm="1">
        <f t="array" ref="AA7:AC7">_xlfn.XLOOKUP(AA6,_xlfn.ANCHORARRAY($K12),$L12:$N41)</f>
        <v>christmas</v>
      </c>
      <c r="AB7" s="38" t="str">
        <v>brings</v>
      </c>
      <c r="AC7" s="38" t="str">
        <v>joy</v>
      </c>
      <c r="AJ7" s="38" t="str" cm="1">
        <f t="array" ref="AJ7:AL7">_xlfn.XLOOKUP(AJ6,_xlfn.ANCHORARRAY($K12),$L12:$N41)</f>
        <v>love</v>
      </c>
      <c r="AK7" s="38" t="str">
        <v>and</v>
      </c>
      <c r="AL7" s="38" t="str">
        <v>warmth</v>
      </c>
      <c r="AS7" s="38" t="str" cm="1">
        <f t="array" ref="AS7:AU7">_xlfn.XLOOKUP(AS6,_xlfn.ANCHORARRAY($K12),$L12:$N41)</f>
        <v>families</v>
      </c>
      <c r="AT7" s="38" t="str">
        <v>gather</v>
      </c>
      <c r="AU7" s="38" t="str">
        <v>sharing</v>
      </c>
      <c r="BB7" s="38" t="str" cm="1">
        <f t="array" ref="BB7:BD7">_xlfn.XLOOKUP(BB6,_xlfn.ANCHORARRAY($K12),$L12:$N41)</f>
        <v>gifts</v>
      </c>
      <c r="BC7" s="38" t="str">
        <v>laughter</v>
      </c>
      <c r="BD7" s="38" t="str">
        <v>and</v>
      </c>
      <c r="BM7" s="39" t="str" cm="1">
        <f t="array" ref="BM7:BO7">CL11:CN11</f>
        <v>gifts</v>
      </c>
      <c r="BN7" s="39" t="str">
        <v>christmas</v>
      </c>
      <c r="BO7" s="39" t="str">
        <v>joy</v>
      </c>
    </row>
    <row r="8" spans="1:92" ht="16" x14ac:dyDescent="0.2">
      <c r="A8" s="3"/>
      <c r="B8" s="3"/>
      <c r="C8" s="3"/>
      <c r="D8" s="4" t="s">
        <v>13</v>
      </c>
      <c r="E8" s="3"/>
      <c r="F8" s="3"/>
      <c r="G8" s="3"/>
      <c r="H8" s="3"/>
      <c r="I8" s="3"/>
      <c r="J8" s="3"/>
      <c r="K8" t="s">
        <v>28</v>
      </c>
      <c r="M8" s="41">
        <v>3</v>
      </c>
      <c r="N8" t="s">
        <v>31</v>
      </c>
      <c r="AA8" s="8" cm="1">
        <f t="array" ref="AA8:AA12">TRANSPOSE(_xlfn.XLOOKUP(AA7,_xlfn.ANCHORARRAY($D10),$E10:$I71))</f>
        <v>0</v>
      </c>
      <c r="AB8" s="8" cm="1">
        <f t="array" ref="AB8:AB12">TRANSPOSE(_xlfn.XLOOKUP(AB7,_xlfn.ANCHORARRAY($D10),$E10:$I71))</f>
        <v>2</v>
      </c>
      <c r="AC8" s="8" cm="1">
        <f t="array" ref="AC8:AC12">TRANSPOSE(_xlfn.XLOOKUP(AC7,_xlfn.ANCHORARRAY($D10),$E10:$I71))</f>
        <v>1</v>
      </c>
      <c r="AD8" s="9"/>
      <c r="AE8" s="9"/>
      <c r="AF8" s="9"/>
      <c r="AG8" s="9"/>
      <c r="AH8" s="9"/>
      <c r="AJ8" s="8" cm="1">
        <f t="array" ref="AJ8:AJ12">TRANSPOSE(_xlfn.XLOOKUP(AJ7,_xlfn.ANCHORARRAY($D10),$E10:$I71))</f>
        <v>0</v>
      </c>
      <c r="AK8" s="8" cm="1">
        <f t="array" ref="AK8:AK12">TRANSPOSE(_xlfn.XLOOKUP(AK7,_xlfn.ANCHORARRAY($D10),$E10:$I71))</f>
        <v>0</v>
      </c>
      <c r="AL8" s="8" cm="1">
        <f t="array" ref="AL8:AL12">TRANSPOSE(_xlfn.XLOOKUP(AL7,_xlfn.ANCHORARRAY($D10),$E10:$I71))</f>
        <v>0</v>
      </c>
      <c r="AM8" s="9"/>
      <c r="AN8" s="9"/>
      <c r="AO8" s="9"/>
      <c r="AP8" s="9"/>
      <c r="AQ8" s="9"/>
      <c r="AS8" s="8" cm="1">
        <f t="array" ref="AS8:AS12">TRANSPOSE(_xlfn.XLOOKUP(AS7,_xlfn.ANCHORARRAY($D10),$E10:$I71))</f>
        <v>0</v>
      </c>
      <c r="AT8" s="8" cm="1">
        <f t="array" ref="AT8:AT12">TRANSPOSE(_xlfn.XLOOKUP(AT7,_xlfn.ANCHORARRAY($D10),$E10:$I71))</f>
        <v>0</v>
      </c>
      <c r="AU8" s="8" cm="1">
        <f t="array" ref="AU8:AU12">TRANSPOSE(_xlfn.XLOOKUP(AU7,_xlfn.ANCHORARRAY($D10),$E10:$I71))</f>
        <v>0</v>
      </c>
      <c r="AV8" s="9"/>
      <c r="AW8" s="9"/>
      <c r="AX8" s="9"/>
      <c r="AY8" s="9"/>
      <c r="AZ8" s="9"/>
      <c r="BA8" s="9"/>
      <c r="BB8" s="8" cm="1">
        <f t="array" ref="BB8:BB12">TRANSPOSE(_xlfn.XLOOKUP(BB7,_xlfn.ANCHORARRAY($D10),$E10:$I71))</f>
        <v>0</v>
      </c>
      <c r="BC8" s="8" cm="1">
        <f t="array" ref="BC8:BC12">TRANSPOSE(_xlfn.XLOOKUP(BC7,_xlfn.ANCHORARRAY($D10),$E10:$I71))</f>
        <v>0</v>
      </c>
      <c r="BD8" s="8" cm="1">
        <f t="array" ref="BD8:BD12">TRANSPOSE(_xlfn.XLOOKUP(BD7,_xlfn.ANCHORARRAY($D10),$E10:$I71))</f>
        <v>0</v>
      </c>
      <c r="BE8" s="9"/>
      <c r="BF8" s="9"/>
      <c r="BG8" s="9"/>
      <c r="BH8" s="9"/>
      <c r="BI8" s="9"/>
      <c r="BJ8" s="9"/>
      <c r="BK8" s="9"/>
      <c r="BM8" s="8" cm="1">
        <f t="array" ref="BM8:BM12">TRANSPOSE(_xlfn.XLOOKUP(BM7,_xlfn.ANCHORARRAY($D10),$E10:$I71))</f>
        <v>0</v>
      </c>
      <c r="BN8" s="8" cm="1">
        <f t="array" ref="BN8:BN12">TRANSPOSE(_xlfn.XLOOKUP(BN7,_xlfn.ANCHORARRAY($D10),$E10:$I71))</f>
        <v>0</v>
      </c>
      <c r="BO8" s="8" cm="1">
        <f t="array" ref="BO8:BO12">TRANSPOSE(_xlfn.XLOOKUP(BO7,_xlfn.ANCHORARRAY($D10),$E10:$I71))</f>
        <v>1</v>
      </c>
      <c r="BP8" s="9"/>
      <c r="BQ8" s="9"/>
      <c r="BR8" s="9"/>
      <c r="BS8" s="9"/>
      <c r="BT8" s="9"/>
    </row>
    <row r="9" spans="1:92" x14ac:dyDescent="0.2">
      <c r="A9" s="1" t="s">
        <v>1</v>
      </c>
      <c r="B9" s="1" t="s">
        <v>4</v>
      </c>
      <c r="C9" s="1" t="s">
        <v>2</v>
      </c>
      <c r="D9" s="1" t="s">
        <v>3</v>
      </c>
      <c r="E9" s="1" t="s">
        <v>7</v>
      </c>
      <c r="K9" t="s">
        <v>29</v>
      </c>
      <c r="M9" s="41">
        <v>0</v>
      </c>
      <c r="N9" t="s">
        <v>31</v>
      </c>
      <c r="AA9" s="10">
        <v>2</v>
      </c>
      <c r="AB9" s="10">
        <v>0</v>
      </c>
      <c r="AC9" s="10">
        <v>0</v>
      </c>
      <c r="AD9" s="9"/>
      <c r="AE9" s="9"/>
      <c r="AF9" s="9"/>
      <c r="AG9" s="9"/>
      <c r="AH9" s="9"/>
      <c r="AJ9" s="10">
        <v>0</v>
      </c>
      <c r="AK9" s="10">
        <v>2</v>
      </c>
      <c r="AL9" s="10">
        <v>0</v>
      </c>
      <c r="AM9" s="9"/>
      <c r="AN9" s="9"/>
      <c r="AO9" s="9"/>
      <c r="AP9" s="9"/>
      <c r="AQ9" s="9"/>
      <c r="AS9" s="10">
        <v>0</v>
      </c>
      <c r="AT9" s="10">
        <v>1</v>
      </c>
      <c r="AU9" s="10">
        <v>0</v>
      </c>
      <c r="AV9" s="9"/>
      <c r="AW9" s="9"/>
      <c r="AX9" s="9"/>
      <c r="AY9" s="9"/>
      <c r="AZ9" s="9"/>
      <c r="BA9" s="9"/>
      <c r="BB9" s="10">
        <v>1</v>
      </c>
      <c r="BC9" s="10">
        <v>0</v>
      </c>
      <c r="BD9" s="10">
        <v>2</v>
      </c>
      <c r="BE9" s="9"/>
      <c r="BF9" s="9"/>
      <c r="BG9" s="9"/>
      <c r="BH9" s="9"/>
      <c r="BI9" s="9"/>
      <c r="BJ9" s="9"/>
      <c r="BK9" s="9"/>
      <c r="BM9" s="10">
        <v>1</v>
      </c>
      <c r="BN9" s="10">
        <v>2</v>
      </c>
      <c r="BO9" s="10">
        <v>0</v>
      </c>
      <c r="BP9" s="9"/>
      <c r="BQ9" s="9"/>
      <c r="BR9" s="9"/>
      <c r="BS9" s="9"/>
      <c r="BT9" s="9"/>
    </row>
    <row r="10" spans="1:92" x14ac:dyDescent="0.2">
      <c r="A10" t="str" cm="1">
        <f t="array" ref="A10:A75">TRANSPOSE(_xlfn.TEXTSPLIT(A5," "))</f>
        <v>Christmas</v>
      </c>
      <c r="B10" t="str" cm="1">
        <f t="array" ref="B10:B75">LOWER(SUBSTITUTE(SUBSTITUTE(_xlfn.ANCHORARRAY(A10),",",""),".",""))</f>
        <v>christmas</v>
      </c>
      <c r="C10" t="str" cm="1">
        <f t="array" ref="C10:C71">_xlfn.UNIQUE(_xlfn.ANCHORARRAY(B10))</f>
        <v>christmas</v>
      </c>
      <c r="D10" t="str" cm="1">
        <f t="array" ref="D10:D71">_xlfn._xlws.SORT(_xlfn.ANCHORARRAY(C10))</f>
        <v>and</v>
      </c>
      <c r="E10" s="5">
        <v>0</v>
      </c>
      <c r="F10" s="6">
        <v>2</v>
      </c>
      <c r="G10" s="6">
        <v>0</v>
      </c>
      <c r="H10" s="6">
        <v>0</v>
      </c>
      <c r="I10" s="7">
        <v>0</v>
      </c>
      <c r="AA10" s="10">
        <v>0</v>
      </c>
      <c r="AB10" s="10">
        <v>0</v>
      </c>
      <c r="AC10" s="10">
        <v>0</v>
      </c>
      <c r="AD10" s="9"/>
      <c r="AE10" s="9"/>
      <c r="AF10" s="9"/>
      <c r="AG10" s="9"/>
      <c r="AH10" s="9"/>
      <c r="AJ10" s="10">
        <v>2</v>
      </c>
      <c r="AK10" s="10">
        <v>0</v>
      </c>
      <c r="AL10" s="10">
        <v>2</v>
      </c>
      <c r="AM10" s="9"/>
      <c r="AN10" s="9"/>
      <c r="AO10" s="9"/>
      <c r="AP10" s="9"/>
      <c r="AQ10" s="9"/>
      <c r="AS10" s="10">
        <v>2</v>
      </c>
      <c r="AT10" s="10">
        <v>2</v>
      </c>
      <c r="AU10" s="10">
        <v>0</v>
      </c>
      <c r="AV10" s="9"/>
      <c r="AW10" s="9"/>
      <c r="AX10" s="9"/>
      <c r="AY10" s="9"/>
      <c r="AZ10" s="9"/>
      <c r="BA10" s="9"/>
      <c r="BB10" s="10">
        <v>2</v>
      </c>
      <c r="BC10" s="10">
        <v>0</v>
      </c>
      <c r="BD10" s="10">
        <v>0</v>
      </c>
      <c r="BE10" s="9"/>
      <c r="BF10" s="9"/>
      <c r="BG10" s="9"/>
      <c r="BH10" s="9"/>
      <c r="BI10" s="9"/>
      <c r="BJ10" s="9"/>
      <c r="BK10" s="9"/>
      <c r="BM10" s="10">
        <v>2</v>
      </c>
      <c r="BN10" s="10">
        <v>0</v>
      </c>
      <c r="BO10" s="10">
        <v>0</v>
      </c>
      <c r="BP10" s="9"/>
      <c r="BQ10" s="9"/>
      <c r="BR10" s="9"/>
      <c r="BS10" s="9"/>
      <c r="BT10" s="9"/>
      <c r="CL10" t="s">
        <v>31</v>
      </c>
    </row>
    <row r="11" spans="1:92" x14ac:dyDescent="0.2">
      <c r="A11" t="str">
        <v>brings</v>
      </c>
      <c r="B11" t="str">
        <v>brings</v>
      </c>
      <c r="C11" t="str">
        <v>brings</v>
      </c>
      <c r="D11" t="str">
        <v>are</v>
      </c>
      <c r="E11" s="5">
        <v>0</v>
      </c>
      <c r="F11" s="6">
        <v>2</v>
      </c>
      <c r="G11" s="6">
        <v>0</v>
      </c>
      <c r="H11" s="6">
        <v>0</v>
      </c>
      <c r="I11" s="7">
        <v>0</v>
      </c>
      <c r="K11" s="9" t="s">
        <v>22</v>
      </c>
      <c r="AA11" s="10">
        <v>0</v>
      </c>
      <c r="AB11" s="10">
        <v>0</v>
      </c>
      <c r="AC11" s="10">
        <v>2</v>
      </c>
      <c r="AD11" s="9"/>
      <c r="AE11" s="9"/>
      <c r="AF11" s="9"/>
      <c r="AG11" s="9"/>
      <c r="AH11" s="9"/>
      <c r="AJ11" s="10">
        <v>0</v>
      </c>
      <c r="AK11" s="10">
        <v>0</v>
      </c>
      <c r="AL11" s="10">
        <v>0</v>
      </c>
      <c r="AM11" s="9"/>
      <c r="AN11" s="9"/>
      <c r="AO11" s="9"/>
      <c r="AP11" s="9"/>
      <c r="AQ11" s="9"/>
      <c r="AS11" s="10">
        <v>0</v>
      </c>
      <c r="AT11" s="10">
        <v>0</v>
      </c>
      <c r="AU11" s="10">
        <v>0</v>
      </c>
      <c r="AV11" s="9"/>
      <c r="AW11" s="9"/>
      <c r="AX11" s="9"/>
      <c r="AY11" s="9"/>
      <c r="AZ11" s="9"/>
      <c r="BA11" s="9"/>
      <c r="BB11" s="10">
        <v>0</v>
      </c>
      <c r="BC11" s="10">
        <v>2</v>
      </c>
      <c r="BD11" s="10">
        <v>0</v>
      </c>
      <c r="BE11" s="9"/>
      <c r="BF11" s="9"/>
      <c r="BG11" s="9"/>
      <c r="BH11" s="9"/>
      <c r="BI11" s="9"/>
      <c r="BJ11" s="9"/>
      <c r="BK11" s="9"/>
      <c r="BM11" s="10">
        <v>0</v>
      </c>
      <c r="BN11" s="10">
        <v>0</v>
      </c>
      <c r="BO11" s="10">
        <v>2</v>
      </c>
      <c r="BP11" s="9"/>
      <c r="BQ11" s="9"/>
      <c r="BR11" s="9"/>
      <c r="BS11" s="9"/>
      <c r="BT11" s="9"/>
      <c r="CJ11" s="1" t="s">
        <v>24</v>
      </c>
      <c r="CL11" s="42" t="s">
        <v>34</v>
      </c>
      <c r="CM11" s="42" t="s">
        <v>33</v>
      </c>
      <c r="CN11" s="42" t="s">
        <v>32</v>
      </c>
    </row>
    <row r="12" spans="1:92" x14ac:dyDescent="0.2">
      <c r="A12" t="str">
        <v>joy,</v>
      </c>
      <c r="B12" t="str">
        <v>joy</v>
      </c>
      <c r="C12" t="str">
        <v>joy</v>
      </c>
      <c r="D12" t="str">
        <v>await</v>
      </c>
      <c r="E12" s="5">
        <v>0</v>
      </c>
      <c r="F12" s="6">
        <v>2</v>
      </c>
      <c r="G12" s="6">
        <v>0</v>
      </c>
      <c r="H12" s="6">
        <v>0</v>
      </c>
      <c r="I12" s="7">
        <v>0</v>
      </c>
      <c r="K12" s="9" cm="1">
        <f t="array" ref="K12:K41">_xlfn.SEQUENCE(30,1,1)</f>
        <v>1</v>
      </c>
      <c r="L12" s="26" t="str" cm="1">
        <f t="array" ref="L12:N33">CHUNK(_xlfn.ANCHORARRAY(B10),M8,M9)</f>
        <v>christmas</v>
      </c>
      <c r="M12" s="27" t="str">
        <v>brings</v>
      </c>
      <c r="N12" s="27" t="str">
        <v>joy</v>
      </c>
      <c r="O12" s="28"/>
      <c r="AA12" s="11">
        <v>0</v>
      </c>
      <c r="AB12" s="11">
        <v>0</v>
      </c>
      <c r="AC12" s="11">
        <v>0</v>
      </c>
      <c r="AD12" s="9"/>
      <c r="AE12" s="9"/>
      <c r="AF12" s="9"/>
      <c r="AG12" s="9"/>
      <c r="AH12" s="9"/>
      <c r="AJ12" s="11">
        <v>0</v>
      </c>
      <c r="AK12" s="11">
        <v>0</v>
      </c>
      <c r="AL12" s="11">
        <v>0</v>
      </c>
      <c r="AM12" s="9"/>
      <c r="AN12" s="9"/>
      <c r="AO12" s="9"/>
      <c r="AP12" s="9"/>
      <c r="AQ12" s="9"/>
      <c r="AS12" s="11">
        <v>0</v>
      </c>
      <c r="AT12" s="11">
        <v>0</v>
      </c>
      <c r="AU12" s="11">
        <v>2</v>
      </c>
      <c r="AV12" s="9"/>
      <c r="AW12" s="9"/>
      <c r="AX12" s="9"/>
      <c r="AY12" s="9"/>
      <c r="AZ12" s="9"/>
      <c r="BA12" s="9"/>
      <c r="BB12" s="11">
        <v>0</v>
      </c>
      <c r="BC12" s="11">
        <v>0</v>
      </c>
      <c r="BD12" s="11">
        <v>0</v>
      </c>
      <c r="BE12" s="9"/>
      <c r="BF12" s="9"/>
      <c r="BG12" s="9"/>
      <c r="BH12" s="9"/>
      <c r="BI12" s="9"/>
      <c r="BJ12" s="9"/>
      <c r="BK12" s="9"/>
      <c r="BM12" s="11">
        <v>0</v>
      </c>
      <c r="BN12" s="11">
        <v>0</v>
      </c>
      <c r="BO12" s="11">
        <v>0</v>
      </c>
      <c r="BP12" s="9"/>
      <c r="BQ12" s="9"/>
      <c r="BR12" s="9"/>
      <c r="BS12" s="9"/>
      <c r="BT12" s="9"/>
    </row>
    <row r="13" spans="1:92" x14ac:dyDescent="0.2">
      <c r="A13" t="str">
        <v>love,</v>
      </c>
      <c r="B13" t="str">
        <v>love</v>
      </c>
      <c r="C13" t="str">
        <v>love</v>
      </c>
      <c r="D13" t="str">
        <v>baked</v>
      </c>
      <c r="E13" s="5">
        <v>2</v>
      </c>
      <c r="F13" s="6">
        <v>0</v>
      </c>
      <c r="G13" s="6">
        <v>0</v>
      </c>
      <c r="H13" s="6">
        <v>0</v>
      </c>
      <c r="I13" s="7">
        <v>0</v>
      </c>
      <c r="K13" s="9">
        <v>2</v>
      </c>
      <c r="L13" s="26" t="str">
        <v>love</v>
      </c>
      <c r="M13" s="27" t="str">
        <v>and</v>
      </c>
      <c r="N13" s="27" t="str">
        <v>warmth</v>
      </c>
      <c r="O13" s="28"/>
      <c r="S13" t="s">
        <v>15</v>
      </c>
      <c r="AA13" s="9"/>
      <c r="AB13" s="9"/>
      <c r="AC13" s="9"/>
      <c r="AD13" s="9"/>
      <c r="AE13" s="9"/>
      <c r="AF13" s="9"/>
      <c r="AG13" s="9"/>
      <c r="AH13" s="9"/>
      <c r="AJ13" s="9"/>
      <c r="AK13" s="9"/>
      <c r="AL13" s="9"/>
      <c r="AM13" s="9"/>
      <c r="AN13" s="9"/>
      <c r="AO13" s="9"/>
      <c r="AP13" s="9"/>
      <c r="AQ13" s="9"/>
      <c r="AS13" s="9"/>
      <c r="AT13" s="9"/>
      <c r="AU13" s="9"/>
      <c r="AV13" s="9"/>
      <c r="AW13" s="9"/>
      <c r="AX13" s="9"/>
      <c r="AY13" s="9"/>
      <c r="AZ13" s="9"/>
      <c r="BA13" s="9"/>
      <c r="BB13" s="9"/>
      <c r="BC13" s="9"/>
      <c r="BD13" s="9"/>
      <c r="BE13" s="9"/>
      <c r="BF13" s="9"/>
      <c r="BG13" s="9"/>
      <c r="BH13" s="9"/>
      <c r="BI13" s="9"/>
      <c r="BJ13" s="9"/>
      <c r="BK13" s="9"/>
      <c r="BM13" s="9"/>
      <c r="BN13" s="9"/>
      <c r="BO13" s="9"/>
      <c r="BP13" s="9"/>
      <c r="BQ13" s="9"/>
      <c r="BR13" s="9"/>
      <c r="BS13" s="9"/>
      <c r="BT13" s="9"/>
      <c r="CJ13" s="1"/>
    </row>
    <row r="14" spans="1:92" x14ac:dyDescent="0.2">
      <c r="A14" t="str">
        <v>and</v>
      </c>
      <c r="B14" t="str">
        <v>and</v>
      </c>
      <c r="C14" t="str">
        <v>and</v>
      </c>
      <c r="D14" t="str">
        <v>beneath</v>
      </c>
      <c r="E14" s="5">
        <v>2</v>
      </c>
      <c r="F14" s="6">
        <v>0</v>
      </c>
      <c r="G14" s="6">
        <v>0</v>
      </c>
      <c r="H14" s="6">
        <v>0</v>
      </c>
      <c r="I14" s="7">
        <v>0</v>
      </c>
      <c r="K14" s="9">
        <v>3</v>
      </c>
      <c r="L14" s="26" t="str">
        <v>families</v>
      </c>
      <c r="M14" s="27" t="str">
        <v>gather</v>
      </c>
      <c r="N14" s="27" t="str">
        <v>sharing</v>
      </c>
      <c r="O14" s="28"/>
      <c r="R14" t="s">
        <v>31</v>
      </c>
      <c r="S14" s="18">
        <v>1</v>
      </c>
      <c r="T14" s="18">
        <v>-1</v>
      </c>
      <c r="U14" s="18">
        <v>1</v>
      </c>
      <c r="V14" s="18">
        <v>0</v>
      </c>
      <c r="W14" s="18">
        <v>-1</v>
      </c>
      <c r="X14" s="19">
        <v>-1</v>
      </c>
      <c r="AA14" s="12" cm="1">
        <f t="array" ref="AA14:AC19">MMULT($S14:$W19,AA8:AC12)+$X14:$X19</f>
        <v>-3</v>
      </c>
      <c r="AB14" s="12">
        <v>1</v>
      </c>
      <c r="AC14" s="12">
        <v>0</v>
      </c>
      <c r="AD14" s="9"/>
      <c r="AE14" s="9"/>
      <c r="AF14" s="9"/>
      <c r="AG14" s="9"/>
      <c r="AH14" s="9"/>
      <c r="AJ14" s="12" cm="1">
        <f t="array" ref="AJ14:AL19">MMULT($S14:$W19,AJ8:AL12)+$X14:$X19</f>
        <v>1</v>
      </c>
      <c r="AK14" s="12">
        <v>-3</v>
      </c>
      <c r="AL14" s="12">
        <v>1</v>
      </c>
      <c r="AM14" s="9"/>
      <c r="AN14" s="9"/>
      <c r="AO14" s="9"/>
      <c r="AP14" s="9"/>
      <c r="AQ14" s="9"/>
      <c r="AS14" s="12" cm="1">
        <f t="array" ref="AS14:AU19">MMULT($S14:$W19,AS8:AU12)+$X14:$X19</f>
        <v>1</v>
      </c>
      <c r="AT14" s="12">
        <v>0</v>
      </c>
      <c r="AU14" s="12">
        <v>-3</v>
      </c>
      <c r="AV14" s="9"/>
      <c r="AW14" s="9"/>
      <c r="AX14" s="9"/>
      <c r="AY14" s="9"/>
      <c r="AZ14" s="9"/>
      <c r="BA14" s="9"/>
      <c r="BB14" s="12" cm="1">
        <f t="array" ref="BB14:BD19">MMULT($S14:$W19,BB8:BD12)+$X14:$X19</f>
        <v>0</v>
      </c>
      <c r="BC14" s="12">
        <v>-1</v>
      </c>
      <c r="BD14" s="12">
        <v>-3</v>
      </c>
      <c r="BE14" s="9"/>
      <c r="BF14" s="9"/>
      <c r="BG14" s="9"/>
      <c r="BH14" s="9"/>
      <c r="BI14" s="9"/>
      <c r="BJ14" s="9"/>
      <c r="BK14" s="9"/>
      <c r="BM14" s="12" cm="1">
        <f t="array" ref="BM14:BO19">MMULT($S14:$W19,BM8:BO12)+$X14:$X19</f>
        <v>0</v>
      </c>
      <c r="BN14" s="12">
        <v>-3</v>
      </c>
      <c r="BO14" s="12">
        <v>0</v>
      </c>
      <c r="BP14" s="9"/>
      <c r="BQ14" s="9"/>
      <c r="BR14" s="9"/>
      <c r="BS14" s="9"/>
      <c r="BT14" s="9"/>
    </row>
    <row r="15" spans="1:92" x14ac:dyDescent="0.2">
      <c r="A15" t="str">
        <v>warmth.</v>
      </c>
      <c r="B15" t="str">
        <v>warmth</v>
      </c>
      <c r="C15" t="str">
        <v>warmth</v>
      </c>
      <c r="D15" t="str">
        <v>blankets</v>
      </c>
      <c r="E15" s="5">
        <v>2</v>
      </c>
      <c r="F15" s="6">
        <v>0</v>
      </c>
      <c r="G15" s="6">
        <v>0</v>
      </c>
      <c r="H15" s="6">
        <v>0</v>
      </c>
      <c r="I15" s="7">
        <v>0</v>
      </c>
      <c r="K15" s="9">
        <v>4</v>
      </c>
      <c r="L15" s="26" t="str">
        <v>gifts</v>
      </c>
      <c r="M15" s="27" t="str">
        <v>laughter</v>
      </c>
      <c r="N15" s="27" t="str">
        <v>and</v>
      </c>
      <c r="O15" s="28"/>
      <c r="S15" s="18">
        <v>0</v>
      </c>
      <c r="T15" s="18">
        <v>1</v>
      </c>
      <c r="U15" s="18">
        <v>-1</v>
      </c>
      <c r="V15" s="18">
        <v>1</v>
      </c>
      <c r="W15" s="18">
        <v>1</v>
      </c>
      <c r="X15" s="19">
        <v>1</v>
      </c>
      <c r="AA15" s="13">
        <v>3</v>
      </c>
      <c r="AB15" s="13">
        <v>1</v>
      </c>
      <c r="AC15" s="13">
        <v>3</v>
      </c>
      <c r="AD15" s="9"/>
      <c r="AE15" s="9"/>
      <c r="AF15" s="9"/>
      <c r="AG15" s="9"/>
      <c r="AH15" s="9"/>
      <c r="AJ15" s="13">
        <v>-1</v>
      </c>
      <c r="AK15" s="13">
        <v>3</v>
      </c>
      <c r="AL15" s="13">
        <v>-1</v>
      </c>
      <c r="AM15" s="9"/>
      <c r="AN15" s="9"/>
      <c r="AO15" s="9"/>
      <c r="AP15" s="9"/>
      <c r="AQ15" s="9"/>
      <c r="AS15" s="13">
        <v>-1</v>
      </c>
      <c r="AT15" s="13">
        <v>0</v>
      </c>
      <c r="AU15" s="13">
        <v>3</v>
      </c>
      <c r="AV15" s="9"/>
      <c r="AW15" s="9"/>
      <c r="AX15" s="9"/>
      <c r="AY15" s="9"/>
      <c r="AZ15" s="9"/>
      <c r="BA15" s="9"/>
      <c r="BB15" s="13">
        <v>0</v>
      </c>
      <c r="BC15" s="13">
        <v>3</v>
      </c>
      <c r="BD15" s="13">
        <v>3</v>
      </c>
      <c r="BE15" s="9"/>
      <c r="BF15" s="9"/>
      <c r="BG15" s="9"/>
      <c r="BH15" s="9"/>
      <c r="BI15" s="9"/>
      <c r="BJ15" s="9"/>
      <c r="BK15" s="9"/>
      <c r="BM15" s="13">
        <v>0</v>
      </c>
      <c r="BN15" s="13">
        <v>3</v>
      </c>
      <c r="BO15" s="13">
        <v>3</v>
      </c>
      <c r="BP15" s="9"/>
      <c r="BQ15" s="9"/>
      <c r="BR15" s="9"/>
      <c r="BS15" s="9"/>
      <c r="BT15" s="9"/>
      <c r="CJ15" s="1" t="s">
        <v>24</v>
      </c>
      <c r="CL15" s="31" cm="1">
        <f t="array" ref="CL15:CL22">BM67:BM74</f>
        <v>0.298007276940007</v>
      </c>
    </row>
    <row r="16" spans="1:92" x14ac:dyDescent="0.2">
      <c r="A16" t="str">
        <v>Families</v>
      </c>
      <c r="B16" t="str">
        <v>families</v>
      </c>
      <c r="C16" t="str">
        <v>families</v>
      </c>
      <c r="D16" t="str">
        <v>bonds</v>
      </c>
      <c r="E16" s="5">
        <v>2</v>
      </c>
      <c r="F16" s="6">
        <v>0</v>
      </c>
      <c r="G16" s="6">
        <v>0</v>
      </c>
      <c r="H16" s="6">
        <v>0</v>
      </c>
      <c r="I16" s="7">
        <v>0</v>
      </c>
      <c r="K16" s="9">
        <v>5</v>
      </c>
      <c r="L16" s="26" t="str">
        <v>stories</v>
      </c>
      <c r="M16" s="27" t="str">
        <v>by</v>
      </c>
      <c r="N16" s="27" t="str">
        <v>cozy</v>
      </c>
      <c r="O16" s="28"/>
      <c r="S16" s="18">
        <v>0</v>
      </c>
      <c r="T16" s="18">
        <v>0</v>
      </c>
      <c r="U16" s="18">
        <v>1</v>
      </c>
      <c r="V16" s="18">
        <v>-1</v>
      </c>
      <c r="W16" s="18">
        <v>1</v>
      </c>
      <c r="X16" s="19">
        <v>3</v>
      </c>
      <c r="AA16" s="13">
        <v>3</v>
      </c>
      <c r="AB16" s="13">
        <v>3</v>
      </c>
      <c r="AC16" s="13">
        <v>1</v>
      </c>
      <c r="AD16" s="9"/>
      <c r="AE16" s="9"/>
      <c r="AF16" s="9"/>
      <c r="AG16" s="9"/>
      <c r="AH16" s="9"/>
      <c r="AJ16" s="13">
        <v>5</v>
      </c>
      <c r="AK16" s="13">
        <v>3</v>
      </c>
      <c r="AL16" s="13">
        <v>5</v>
      </c>
      <c r="AM16" s="9"/>
      <c r="AN16" s="9"/>
      <c r="AO16" s="9"/>
      <c r="AP16" s="9"/>
      <c r="AQ16" s="9"/>
      <c r="AS16" s="13">
        <v>5</v>
      </c>
      <c r="AT16" s="13">
        <v>5</v>
      </c>
      <c r="AU16" s="13">
        <v>5</v>
      </c>
      <c r="AV16" s="9"/>
      <c r="AW16" s="9"/>
      <c r="AX16" s="9"/>
      <c r="AY16" s="9"/>
      <c r="AZ16" s="9"/>
      <c r="BA16" s="9"/>
      <c r="BB16" s="13">
        <v>5</v>
      </c>
      <c r="BC16" s="13">
        <v>1</v>
      </c>
      <c r="BD16" s="13">
        <v>3</v>
      </c>
      <c r="BE16" s="9"/>
      <c r="BF16" s="9"/>
      <c r="BG16" s="9"/>
      <c r="BH16" s="9"/>
      <c r="BI16" s="9"/>
      <c r="BJ16" s="9"/>
      <c r="BK16" s="9"/>
      <c r="BM16" s="13">
        <v>5</v>
      </c>
      <c r="BN16" s="13">
        <v>3</v>
      </c>
      <c r="BO16" s="13">
        <v>1</v>
      </c>
      <c r="BP16" s="9"/>
      <c r="BQ16" s="9"/>
      <c r="BR16" s="9"/>
      <c r="BS16" s="9"/>
      <c r="BT16" s="9"/>
      <c r="CJ16" s="1" t="s">
        <v>21</v>
      </c>
      <c r="CL16" s="32">
        <v>-2.1286234067143354E-2</v>
      </c>
    </row>
    <row r="17" spans="1:97" x14ac:dyDescent="0.2">
      <c r="A17" t="str">
        <v>gather,</v>
      </c>
      <c r="B17" t="str">
        <v>gather</v>
      </c>
      <c r="C17" t="str">
        <v>gather</v>
      </c>
      <c r="D17" t="str">
        <v>brightly</v>
      </c>
      <c r="E17" s="5">
        <v>2</v>
      </c>
      <c r="F17" s="6">
        <v>0</v>
      </c>
      <c r="G17" s="6">
        <v>0</v>
      </c>
      <c r="H17" s="6">
        <v>0</v>
      </c>
      <c r="I17" s="7">
        <v>0</v>
      </c>
      <c r="K17" s="9">
        <v>6</v>
      </c>
      <c r="L17" s="26" t="str">
        <v>fires</v>
      </c>
      <c r="M17" s="27" t="str">
        <v>lights</v>
      </c>
      <c r="N17" s="27" t="str">
        <v>twinkle</v>
      </c>
      <c r="O17" s="28"/>
      <c r="S17" s="18">
        <v>0</v>
      </c>
      <c r="T17" s="18">
        <v>0</v>
      </c>
      <c r="U17" s="18">
        <v>1</v>
      </c>
      <c r="V17" s="18">
        <v>1</v>
      </c>
      <c r="W17" s="18">
        <v>-1</v>
      </c>
      <c r="X17" s="19">
        <v>0</v>
      </c>
      <c r="AA17" s="13">
        <v>0</v>
      </c>
      <c r="AB17" s="13">
        <v>0</v>
      </c>
      <c r="AC17" s="13">
        <v>2</v>
      </c>
      <c r="AD17" s="9"/>
      <c r="AE17" s="9"/>
      <c r="AF17" s="9"/>
      <c r="AG17" s="9"/>
      <c r="AH17" s="9"/>
      <c r="AJ17" s="13">
        <v>2</v>
      </c>
      <c r="AK17" s="13">
        <v>0</v>
      </c>
      <c r="AL17" s="13">
        <v>2</v>
      </c>
      <c r="AM17" s="9"/>
      <c r="AN17" s="9"/>
      <c r="AO17" s="9"/>
      <c r="AP17" s="9"/>
      <c r="AQ17" s="9"/>
      <c r="AS17" s="13">
        <v>2</v>
      </c>
      <c r="AT17" s="13">
        <v>2</v>
      </c>
      <c r="AU17" s="13">
        <v>-2</v>
      </c>
      <c r="AV17" s="9"/>
      <c r="AW17" s="9"/>
      <c r="AX17" s="9"/>
      <c r="AY17" s="9"/>
      <c r="AZ17" s="9"/>
      <c r="BA17" s="9"/>
      <c r="BB17" s="13">
        <v>2</v>
      </c>
      <c r="BC17" s="13">
        <v>2</v>
      </c>
      <c r="BD17" s="13">
        <v>0</v>
      </c>
      <c r="BE17" s="9"/>
      <c r="BF17" s="9"/>
      <c r="BG17" s="9"/>
      <c r="BH17" s="9"/>
      <c r="BI17" s="9"/>
      <c r="BJ17" s="9"/>
      <c r="BK17" s="9"/>
      <c r="BM17" s="13">
        <v>2</v>
      </c>
      <c r="BN17" s="13">
        <v>0</v>
      </c>
      <c r="BO17" s="13">
        <v>2</v>
      </c>
      <c r="BP17" s="9"/>
      <c r="BQ17" s="9"/>
      <c r="BR17" s="9"/>
      <c r="BS17" s="9"/>
      <c r="BT17" s="9"/>
      <c r="CL17" s="32">
        <v>0.38315221320858039</v>
      </c>
    </row>
    <row r="18" spans="1:97" x14ac:dyDescent="0.2">
      <c r="A18" t="str">
        <v>sharing</v>
      </c>
      <c r="B18" t="str">
        <v>sharing</v>
      </c>
      <c r="C18" t="str">
        <v>sharing</v>
      </c>
      <c r="D18" t="str">
        <v>brings</v>
      </c>
      <c r="E18" s="5">
        <v>2</v>
      </c>
      <c r="F18" s="6">
        <v>0</v>
      </c>
      <c r="G18" s="6">
        <v>0</v>
      </c>
      <c r="H18" s="6">
        <v>0</v>
      </c>
      <c r="I18" s="7">
        <v>0</v>
      </c>
      <c r="K18" s="9">
        <v>7</v>
      </c>
      <c r="L18" s="26" t="str">
        <v>trees</v>
      </c>
      <c r="M18" s="27" t="str">
        <v>sparkle</v>
      </c>
      <c r="N18" s="27" t="str">
        <v>songs</v>
      </c>
      <c r="O18" s="28"/>
      <c r="S18" s="18">
        <v>0</v>
      </c>
      <c r="T18" s="18">
        <v>0</v>
      </c>
      <c r="U18" s="18">
        <v>-1</v>
      </c>
      <c r="V18" s="18">
        <v>1</v>
      </c>
      <c r="W18" s="18">
        <v>1</v>
      </c>
      <c r="X18" s="19">
        <v>1</v>
      </c>
      <c r="AA18" s="13">
        <v>1</v>
      </c>
      <c r="AB18" s="13">
        <v>1</v>
      </c>
      <c r="AC18" s="13">
        <v>3</v>
      </c>
      <c r="AD18" s="9"/>
      <c r="AE18" s="9"/>
      <c r="AF18" s="9"/>
      <c r="AG18" s="9"/>
      <c r="AH18" s="9"/>
      <c r="AJ18" s="13">
        <v>-1</v>
      </c>
      <c r="AK18" s="13">
        <v>1</v>
      </c>
      <c r="AL18" s="13">
        <v>-1</v>
      </c>
      <c r="AM18" s="9"/>
      <c r="AN18" s="9"/>
      <c r="AO18" s="9"/>
      <c r="AP18" s="9"/>
      <c r="AQ18" s="9"/>
      <c r="AS18" s="13">
        <v>-1</v>
      </c>
      <c r="AT18" s="13">
        <v>-1</v>
      </c>
      <c r="AU18" s="13">
        <v>3</v>
      </c>
      <c r="AV18" s="9"/>
      <c r="AW18" s="9"/>
      <c r="AX18" s="9"/>
      <c r="AY18" s="9"/>
      <c r="AZ18" s="9"/>
      <c r="BA18" s="9"/>
      <c r="BB18" s="13">
        <v>-1</v>
      </c>
      <c r="BC18" s="13">
        <v>3</v>
      </c>
      <c r="BD18" s="13">
        <v>1</v>
      </c>
      <c r="BE18" s="9"/>
      <c r="BF18" s="9"/>
      <c r="BG18" s="9"/>
      <c r="BH18" s="9"/>
      <c r="BI18" s="9"/>
      <c r="BJ18" s="9"/>
      <c r="BK18" s="9"/>
      <c r="BM18" s="13">
        <v>-1</v>
      </c>
      <c r="BN18" s="13">
        <v>1</v>
      </c>
      <c r="BO18" s="13">
        <v>3</v>
      </c>
      <c r="BP18" s="9"/>
      <c r="BQ18" s="9"/>
      <c r="BR18" s="9"/>
      <c r="BS18" s="9"/>
      <c r="BT18" s="9"/>
      <c r="CL18" s="32">
        <v>0.51086961761144056</v>
      </c>
    </row>
    <row r="19" spans="1:97" x14ac:dyDescent="0.2">
      <c r="A19" t="str">
        <v>gifts,</v>
      </c>
      <c r="B19" t="str">
        <v>gifts</v>
      </c>
      <c r="C19" t="str">
        <v>gifts</v>
      </c>
      <c r="D19" t="str">
        <v>by</v>
      </c>
      <c r="E19" s="5">
        <v>2</v>
      </c>
      <c r="F19" s="6">
        <v>0</v>
      </c>
      <c r="G19" s="6">
        <v>0</v>
      </c>
      <c r="H19" s="6">
        <v>0</v>
      </c>
      <c r="I19" s="7">
        <v>0</v>
      </c>
      <c r="K19" s="9">
        <v>8</v>
      </c>
      <c r="L19" s="26" t="str">
        <v>fill</v>
      </c>
      <c r="M19" s="27" t="str">
        <v>hearts</v>
      </c>
      <c r="N19" s="27" t="str">
        <v>spreading</v>
      </c>
      <c r="O19" s="28"/>
      <c r="S19" s="18">
        <v>-1</v>
      </c>
      <c r="T19" s="18">
        <v>0</v>
      </c>
      <c r="U19" s="18">
        <v>1</v>
      </c>
      <c r="V19" s="18">
        <v>1</v>
      </c>
      <c r="W19" s="18">
        <v>0</v>
      </c>
      <c r="X19" s="19">
        <v>1</v>
      </c>
      <c r="AA19" s="14">
        <v>1</v>
      </c>
      <c r="AB19" s="14">
        <v>-1</v>
      </c>
      <c r="AC19" s="14">
        <v>2</v>
      </c>
      <c r="AD19" s="9"/>
      <c r="AE19" s="9"/>
      <c r="AF19" s="9"/>
      <c r="AG19" s="9"/>
      <c r="AH19" s="9"/>
      <c r="AJ19" s="14">
        <v>3</v>
      </c>
      <c r="AK19" s="14">
        <v>1</v>
      </c>
      <c r="AL19" s="14">
        <v>3</v>
      </c>
      <c r="AM19" s="9"/>
      <c r="AN19" s="9"/>
      <c r="AO19" s="9"/>
      <c r="AP19" s="9"/>
      <c r="AQ19" s="9"/>
      <c r="AS19" s="14">
        <v>3</v>
      </c>
      <c r="AT19" s="14">
        <v>3</v>
      </c>
      <c r="AU19" s="14">
        <v>1</v>
      </c>
      <c r="AV19" s="9"/>
      <c r="AW19" s="9"/>
      <c r="AX19" s="9"/>
      <c r="AY19" s="9"/>
      <c r="AZ19" s="9"/>
      <c r="BA19" s="9"/>
      <c r="BB19" s="14">
        <v>3</v>
      </c>
      <c r="BC19" s="14">
        <v>3</v>
      </c>
      <c r="BD19" s="14">
        <v>1</v>
      </c>
      <c r="BE19" s="9"/>
      <c r="BF19" s="9"/>
      <c r="BG19" s="9"/>
      <c r="BH19" s="9"/>
      <c r="BI19" s="9"/>
      <c r="BJ19" s="9"/>
      <c r="BK19" s="9"/>
      <c r="BM19" s="14">
        <v>3</v>
      </c>
      <c r="BN19" s="14">
        <v>1</v>
      </c>
      <c r="BO19" s="14">
        <v>2</v>
      </c>
      <c r="BP19" s="9"/>
      <c r="BQ19" s="9"/>
      <c r="BR19" s="9"/>
      <c r="BS19" s="9"/>
      <c r="BT19" s="9"/>
      <c r="CL19" s="32">
        <v>0.59601455388001401</v>
      </c>
    </row>
    <row r="20" spans="1:97" x14ac:dyDescent="0.2">
      <c r="A20" t="str">
        <v>laughter,</v>
      </c>
      <c r="B20" t="str">
        <v>laughter</v>
      </c>
      <c r="C20" t="str">
        <v>laughter</v>
      </c>
      <c r="D20" t="str">
        <v>cheer</v>
      </c>
      <c r="E20" s="5">
        <v>2</v>
      </c>
      <c r="F20" s="6">
        <v>2</v>
      </c>
      <c r="G20" s="6">
        <v>0</v>
      </c>
      <c r="H20" s="6">
        <v>0</v>
      </c>
      <c r="I20" s="7">
        <v>0</v>
      </c>
      <c r="K20" s="9">
        <v>9</v>
      </c>
      <c r="L20" s="26" t="str">
        <v>cheer</v>
      </c>
      <c r="M20" s="27" t="str">
        <v>snow</v>
      </c>
      <c r="N20" s="27" t="str">
        <v>blankets</v>
      </c>
      <c r="O20" s="28"/>
      <c r="AA20" s="9"/>
      <c r="AB20" s="9"/>
      <c r="AC20" s="9"/>
      <c r="AD20" s="9"/>
      <c r="AE20" s="9"/>
      <c r="AF20" s="9"/>
      <c r="AG20" s="9"/>
      <c r="AH20" s="9"/>
      <c r="AJ20" s="9"/>
      <c r="AK20" s="9"/>
      <c r="AL20" s="9"/>
      <c r="AM20" s="9"/>
      <c r="AN20" s="9"/>
      <c r="AO20" s="9"/>
      <c r="AP20" s="9"/>
      <c r="AQ20" s="9"/>
      <c r="AS20" s="9"/>
      <c r="AT20" s="9"/>
      <c r="AU20" s="9"/>
      <c r="AV20" s="9"/>
      <c r="AW20" s="9"/>
      <c r="AX20" s="9"/>
      <c r="AY20" s="9"/>
      <c r="AZ20" s="9"/>
      <c r="BA20" s="9"/>
      <c r="BB20" s="9"/>
      <c r="BC20" s="9"/>
      <c r="BD20" s="9"/>
      <c r="BE20" s="9"/>
      <c r="BF20" s="9"/>
      <c r="BG20" s="9"/>
      <c r="BH20" s="9"/>
      <c r="BI20" s="9"/>
      <c r="BJ20" s="9"/>
      <c r="BK20" s="9"/>
      <c r="BM20" s="9"/>
      <c r="BN20" s="9"/>
      <c r="BO20" s="9"/>
      <c r="BP20" s="9"/>
      <c r="BQ20" s="9"/>
      <c r="BR20" s="9"/>
      <c r="BS20" s="9"/>
      <c r="BT20" s="9"/>
      <c r="CL20" s="32">
        <v>0.12771740440286014</v>
      </c>
      <c r="CO20" s="1" t="s">
        <v>25</v>
      </c>
    </row>
    <row r="21" spans="1:97" x14ac:dyDescent="0.2">
      <c r="A21" t="str">
        <v>and</v>
      </c>
      <c r="B21" t="str">
        <v>and</v>
      </c>
      <c r="C21" t="str">
        <v>stories</v>
      </c>
      <c r="D21" t="str">
        <v>children</v>
      </c>
      <c r="E21" s="5">
        <v>0</v>
      </c>
      <c r="F21" s="6">
        <v>2</v>
      </c>
      <c r="G21" s="6">
        <v>0</v>
      </c>
      <c r="H21" s="6">
        <v>0</v>
      </c>
      <c r="I21" s="7">
        <v>0</v>
      </c>
      <c r="K21" s="9">
        <v>10</v>
      </c>
      <c r="L21" s="26" t="str">
        <v>streets</v>
      </c>
      <c r="M21" s="27" t="str">
        <v>transforming</v>
      </c>
      <c r="N21" s="27" t="str">
        <v>towns</v>
      </c>
      <c r="O21" s="28"/>
      <c r="X21" t="s">
        <v>16</v>
      </c>
      <c r="AA21" s="12">
        <f>MAX(AA14,0)</f>
        <v>0</v>
      </c>
      <c r="AB21" s="12">
        <f t="shared" ref="AB21:AC21" si="0">MAX(AB14,0)</f>
        <v>1</v>
      </c>
      <c r="AC21" s="12">
        <f t="shared" si="0"/>
        <v>0</v>
      </c>
      <c r="AD21" s="9"/>
      <c r="AE21" s="9"/>
      <c r="AF21" s="9"/>
      <c r="AG21" s="9"/>
      <c r="AH21" s="9"/>
      <c r="AJ21" s="12">
        <f>MAX(AJ14,0)</f>
        <v>1</v>
      </c>
      <c r="AK21" s="12">
        <f t="shared" ref="AK21:AL21" si="1">MAX(AK14,0)</f>
        <v>0</v>
      </c>
      <c r="AL21" s="12">
        <f t="shared" si="1"/>
        <v>1</v>
      </c>
      <c r="AM21" s="9"/>
      <c r="AN21" s="9"/>
      <c r="AO21" s="9"/>
      <c r="AP21" s="9"/>
      <c r="AQ21" s="9"/>
      <c r="AS21" s="12">
        <f>MAX(AS14,0)</f>
        <v>1</v>
      </c>
      <c r="AT21" s="12">
        <f t="shared" ref="AT21:AU21" si="2">MAX(AT14,0)</f>
        <v>0</v>
      </c>
      <c r="AU21" s="12">
        <f t="shared" si="2"/>
        <v>0</v>
      </c>
      <c r="AV21" s="9"/>
      <c r="AW21" s="9"/>
      <c r="AX21" s="9"/>
      <c r="AY21" s="9"/>
      <c r="AZ21" s="9"/>
      <c r="BA21" s="9"/>
      <c r="BB21" s="12">
        <f>MAX(BB14,0)</f>
        <v>0</v>
      </c>
      <c r="BC21" s="12">
        <f t="shared" ref="BC21:BD21" si="3">MAX(BC14,0)</f>
        <v>0</v>
      </c>
      <c r="BD21" s="12">
        <f t="shared" si="3"/>
        <v>0</v>
      </c>
      <c r="BE21" s="9"/>
      <c r="BF21" s="9"/>
      <c r="BG21" s="9"/>
      <c r="BH21" s="9"/>
      <c r="BI21" s="9"/>
      <c r="BJ21" s="9"/>
      <c r="BK21" s="9"/>
      <c r="BM21" s="12">
        <f>MAX(BM14,0)</f>
        <v>0</v>
      </c>
      <c r="BN21" s="12">
        <f t="shared" ref="BN21:BO21" si="4">MAX(BN14,0)</f>
        <v>0</v>
      </c>
      <c r="BO21" s="12">
        <f t="shared" si="4"/>
        <v>0</v>
      </c>
      <c r="BP21" s="9"/>
      <c r="BQ21" s="9"/>
      <c r="BR21" s="9"/>
      <c r="BS21" s="9"/>
      <c r="BT21" s="9"/>
      <c r="BY21" s="1" t="s">
        <v>30</v>
      </c>
      <c r="CL21" s="32">
        <v>0.23414857473857692</v>
      </c>
      <c r="CO21" t="s">
        <v>27</v>
      </c>
    </row>
    <row r="22" spans="1:97" x14ac:dyDescent="0.2">
      <c r="A22" t="str">
        <v>stories</v>
      </c>
      <c r="B22" t="str">
        <v>stories</v>
      </c>
      <c r="C22" t="str">
        <v>by</v>
      </c>
      <c r="D22" t="str">
        <v>christmas</v>
      </c>
      <c r="E22" s="5">
        <v>0</v>
      </c>
      <c r="F22" s="6">
        <v>2</v>
      </c>
      <c r="G22" s="6">
        <v>0</v>
      </c>
      <c r="H22" s="6">
        <v>0</v>
      </c>
      <c r="I22" s="7">
        <v>0</v>
      </c>
      <c r="K22" s="9">
        <v>11</v>
      </c>
      <c r="L22" s="26" t="str">
        <v>into</v>
      </c>
      <c r="M22" s="27" t="str">
        <v>winter</v>
      </c>
      <c r="N22" s="27" t="str">
        <v>wonderlands</v>
      </c>
      <c r="O22" s="28"/>
      <c r="AA22" s="13">
        <f t="shared" ref="AA22:AC26" si="5">MAX(AA15,0)</f>
        <v>3</v>
      </c>
      <c r="AB22" s="13">
        <f t="shared" si="5"/>
        <v>1</v>
      </c>
      <c r="AC22" s="13">
        <f t="shared" si="5"/>
        <v>3</v>
      </c>
      <c r="AD22" s="9"/>
      <c r="AE22" s="9"/>
      <c r="AF22" s="9"/>
      <c r="AG22" s="9"/>
      <c r="AH22" s="9"/>
      <c r="AJ22" s="13">
        <f t="shared" ref="AJ22:AL26" si="6">MAX(AJ15,0)</f>
        <v>0</v>
      </c>
      <c r="AK22" s="13">
        <f t="shared" si="6"/>
        <v>3</v>
      </c>
      <c r="AL22" s="13">
        <f t="shared" si="6"/>
        <v>0</v>
      </c>
      <c r="AM22" s="9"/>
      <c r="AN22" s="9"/>
      <c r="AO22" s="9"/>
      <c r="AP22" s="9"/>
      <c r="AQ22" s="9"/>
      <c r="AS22" s="13">
        <f t="shared" ref="AS22:AU26" si="7">MAX(AS15,0)</f>
        <v>0</v>
      </c>
      <c r="AT22" s="13">
        <f t="shared" si="7"/>
        <v>0</v>
      </c>
      <c r="AU22" s="13">
        <f t="shared" si="7"/>
        <v>3</v>
      </c>
      <c r="AV22" s="9"/>
      <c r="AW22" s="9"/>
      <c r="AX22" s="9"/>
      <c r="AY22" s="9"/>
      <c r="AZ22" s="9"/>
      <c r="BA22" s="9"/>
      <c r="BB22" s="13">
        <f t="shared" ref="BB22:BD22" si="8">MAX(BB15,0)</f>
        <v>0</v>
      </c>
      <c r="BC22" s="13">
        <f t="shared" si="8"/>
        <v>3</v>
      </c>
      <c r="BD22" s="13">
        <f t="shared" si="8"/>
        <v>3</v>
      </c>
      <c r="BE22" s="9"/>
      <c r="BF22" s="9"/>
      <c r="BG22" s="9"/>
      <c r="BH22" s="9"/>
      <c r="BI22" s="9"/>
      <c r="BJ22" s="9"/>
      <c r="BK22" s="9"/>
      <c r="BM22" s="13">
        <f t="shared" ref="BM22:BO26" si="9">MAX(BM15,0)</f>
        <v>0</v>
      </c>
      <c r="BN22" s="13">
        <f t="shared" si="9"/>
        <v>3</v>
      </c>
      <c r="BO22" s="13">
        <f t="shared" si="9"/>
        <v>3</v>
      </c>
      <c r="BP22" s="9"/>
      <c r="BQ22" s="9"/>
      <c r="BR22" s="9"/>
      <c r="BS22" s="9"/>
      <c r="BT22" s="9"/>
      <c r="CL22" s="33">
        <v>0.27672104287286364</v>
      </c>
    </row>
    <row r="23" spans="1:97" x14ac:dyDescent="0.2">
      <c r="A23" t="str">
        <v>by</v>
      </c>
      <c r="B23" t="str">
        <v>by</v>
      </c>
      <c r="C23" t="str">
        <v>cozy</v>
      </c>
      <c r="D23" t="str">
        <v>cocoa</v>
      </c>
      <c r="E23" s="5">
        <v>0</v>
      </c>
      <c r="F23" s="6">
        <v>2</v>
      </c>
      <c r="G23" s="6">
        <v>0</v>
      </c>
      <c r="H23" s="6">
        <v>0</v>
      </c>
      <c r="I23" s="7">
        <v>0</v>
      </c>
      <c r="K23" s="9">
        <v>12</v>
      </c>
      <c r="L23" s="26" t="str">
        <v>children</v>
      </c>
      <c r="M23" s="27" t="str">
        <v>eagerly</v>
      </c>
      <c r="N23" s="27" t="str">
        <v>await</v>
      </c>
      <c r="O23" s="28"/>
      <c r="AA23" s="13">
        <f t="shared" si="5"/>
        <v>3</v>
      </c>
      <c r="AB23" s="13">
        <f t="shared" si="5"/>
        <v>3</v>
      </c>
      <c r="AC23" s="13">
        <f t="shared" si="5"/>
        <v>1</v>
      </c>
      <c r="AD23" s="9"/>
      <c r="AE23" s="9"/>
      <c r="AF23" s="9"/>
      <c r="AG23" s="9"/>
      <c r="AH23" s="9"/>
      <c r="AJ23" s="13">
        <f t="shared" si="6"/>
        <v>5</v>
      </c>
      <c r="AK23" s="13">
        <f t="shared" si="6"/>
        <v>3</v>
      </c>
      <c r="AL23" s="13">
        <f t="shared" si="6"/>
        <v>5</v>
      </c>
      <c r="AM23" s="9"/>
      <c r="AN23" s="9"/>
      <c r="AO23" s="9"/>
      <c r="AP23" s="9"/>
      <c r="AQ23" s="9"/>
      <c r="AS23" s="13">
        <f t="shared" si="7"/>
        <v>5</v>
      </c>
      <c r="AT23" s="13">
        <f t="shared" si="7"/>
        <v>5</v>
      </c>
      <c r="AU23" s="13">
        <f t="shared" si="7"/>
        <v>5</v>
      </c>
      <c r="AV23" s="9"/>
      <c r="AW23" s="9"/>
      <c r="AX23" s="9"/>
      <c r="AY23" s="9"/>
      <c r="AZ23" s="9"/>
      <c r="BA23" s="9"/>
      <c r="BB23" s="13">
        <f t="shared" ref="BB23:BD23" si="10">MAX(BB16,0)</f>
        <v>5</v>
      </c>
      <c r="BC23" s="13">
        <f t="shared" si="10"/>
        <v>1</v>
      </c>
      <c r="BD23" s="13">
        <f t="shared" si="10"/>
        <v>3</v>
      </c>
      <c r="BE23" s="9"/>
      <c r="BF23" s="9"/>
      <c r="BG23" s="9"/>
      <c r="BH23" s="9"/>
      <c r="BI23" s="9"/>
      <c r="BJ23" s="9"/>
      <c r="BK23" s="9"/>
      <c r="BM23" s="13">
        <f t="shared" si="9"/>
        <v>5</v>
      </c>
      <c r="BN23" s="13">
        <f t="shared" si="9"/>
        <v>3</v>
      </c>
      <c r="BO23" s="13">
        <f t="shared" si="9"/>
        <v>1</v>
      </c>
      <c r="BP23" s="9"/>
      <c r="BQ23" s="9"/>
      <c r="BR23" s="9"/>
      <c r="BS23" s="9"/>
      <c r="BT23" s="9"/>
      <c r="BY23" s="23" t="s">
        <v>22</v>
      </c>
      <c r="BZ23" s="1" t="s">
        <v>23</v>
      </c>
      <c r="CC23" s="1" t="s">
        <v>21</v>
      </c>
      <c r="CO23" s="1" t="s">
        <v>26</v>
      </c>
      <c r="CP23" s="23" t="s">
        <v>22</v>
      </c>
      <c r="CQ23" s="23" t="s">
        <v>23</v>
      </c>
    </row>
    <row r="24" spans="1:97" x14ac:dyDescent="0.2">
      <c r="A24" t="str">
        <v>cozy</v>
      </c>
      <c r="B24" t="str">
        <v>cozy</v>
      </c>
      <c r="C24" t="str">
        <v>fires</v>
      </c>
      <c r="D24" t="str">
        <v>cookies</v>
      </c>
      <c r="E24" s="5">
        <v>0</v>
      </c>
      <c r="F24" s="6">
        <v>2</v>
      </c>
      <c r="G24" s="6">
        <v>0</v>
      </c>
      <c r="H24" s="6">
        <v>0</v>
      </c>
      <c r="I24" s="7">
        <v>0</v>
      </c>
      <c r="K24" s="9">
        <v>13</v>
      </c>
      <c r="L24" s="26" t="str">
        <v>santa</v>
      </c>
      <c r="M24" s="27" t="str">
        <v>dreaming</v>
      </c>
      <c r="N24" s="27" t="str">
        <v>of</v>
      </c>
      <c r="O24" s="28"/>
      <c r="AA24" s="13">
        <f t="shared" si="5"/>
        <v>0</v>
      </c>
      <c r="AB24" s="13">
        <f t="shared" si="5"/>
        <v>0</v>
      </c>
      <c r="AC24" s="13">
        <f t="shared" si="5"/>
        <v>2</v>
      </c>
      <c r="AD24" s="9"/>
      <c r="AE24" s="9"/>
      <c r="AF24" s="9"/>
      <c r="AG24" s="9"/>
      <c r="AH24" s="9"/>
      <c r="AJ24" s="13">
        <f t="shared" si="6"/>
        <v>2</v>
      </c>
      <c r="AK24" s="13">
        <f t="shared" si="6"/>
        <v>0</v>
      </c>
      <c r="AL24" s="13">
        <f t="shared" si="6"/>
        <v>2</v>
      </c>
      <c r="AM24" s="9"/>
      <c r="AN24" s="9"/>
      <c r="AO24" s="9"/>
      <c r="AP24" s="9"/>
      <c r="AQ24" s="9"/>
      <c r="AS24" s="13">
        <f t="shared" si="7"/>
        <v>2</v>
      </c>
      <c r="AT24" s="13">
        <f t="shared" si="7"/>
        <v>2</v>
      </c>
      <c r="AU24" s="13">
        <f t="shared" si="7"/>
        <v>0</v>
      </c>
      <c r="AV24" s="9"/>
      <c r="AW24" s="9"/>
      <c r="AX24" s="9"/>
      <c r="AY24" s="9"/>
      <c r="AZ24" s="9"/>
      <c r="BA24" s="9"/>
      <c r="BB24" s="13">
        <f t="shared" ref="BB24:BD24" si="11">MAX(BB17,0)</f>
        <v>2</v>
      </c>
      <c r="BC24" s="13">
        <f t="shared" si="11"/>
        <v>2</v>
      </c>
      <c r="BD24" s="13">
        <f t="shared" si="11"/>
        <v>0</v>
      </c>
      <c r="BE24" s="9"/>
      <c r="BF24" s="9"/>
      <c r="BG24" s="9"/>
      <c r="BH24" s="9"/>
      <c r="BI24" s="9"/>
      <c r="BJ24" s="9"/>
      <c r="BK24" s="9"/>
      <c r="BM24" s="13">
        <f t="shared" si="9"/>
        <v>2</v>
      </c>
      <c r="BN24" s="13">
        <f t="shared" si="9"/>
        <v>0</v>
      </c>
      <c r="BO24" s="13">
        <f t="shared" si="9"/>
        <v>2</v>
      </c>
      <c r="BP24" s="9"/>
      <c r="BQ24" s="9"/>
      <c r="BR24" s="9"/>
      <c r="BS24" s="9"/>
      <c r="BT24" s="9"/>
      <c r="BY24" s="29" cm="1">
        <f t="array" ref="BY24:CJ24">TRANSPOSE(AA77:AA88)</f>
        <v>1</v>
      </c>
      <c r="BZ24" s="27" t="str">
        <v>christmas</v>
      </c>
      <c r="CA24" s="27" t="str">
        <v>brings</v>
      </c>
      <c r="CB24" s="28" t="str">
        <v>joy</v>
      </c>
      <c r="CC24" s="24">
        <v>0.39344979911722655</v>
      </c>
      <c r="CD24" s="25">
        <v>0.20707884164064555</v>
      </c>
      <c r="CE24" s="25">
        <v>0.372741914953162</v>
      </c>
      <c r="CF24" s="25">
        <v>0.4141576832812911</v>
      </c>
      <c r="CG24" s="25">
        <v>0.60052864075787205</v>
      </c>
      <c r="CH24" s="25">
        <v>-2.0707884164064553E-2</v>
      </c>
      <c r="CI24" s="25">
        <v>0.33132614662503285</v>
      </c>
      <c r="CJ24" s="43">
        <v>0.14495518914845187</v>
      </c>
      <c r="CL24" s="37" cm="1">
        <f t="array" ref="CL24:CL27">MMULT(CC24:CJ27,_xlfn.ANCHORARRAY(CL15))</f>
        <v>0.94021119032689726</v>
      </c>
      <c r="CO24" s="29">
        <v>1</v>
      </c>
      <c r="CP24" s="29" cm="1">
        <f t="array" ref="CP24:CS27">_xlfn.SORTBY(BY24:CB27,_xlfn.ANCHORARRAY(CL24),-1)</f>
        <v>1</v>
      </c>
      <c r="CQ24" s="27" t="str">
        <v>christmas</v>
      </c>
      <c r="CR24" s="27" t="str">
        <v>brings</v>
      </c>
      <c r="CS24" s="28" t="str">
        <v>joy</v>
      </c>
    </row>
    <row r="25" spans="1:97" x14ac:dyDescent="0.2">
      <c r="A25" t="str">
        <v>fires.</v>
      </c>
      <c r="B25" t="str">
        <v>fires</v>
      </c>
      <c r="C25" t="str">
        <v>lights</v>
      </c>
      <c r="D25" t="str">
        <v>cozy</v>
      </c>
      <c r="E25" s="5">
        <v>0</v>
      </c>
      <c r="F25" s="6">
        <v>2</v>
      </c>
      <c r="G25" s="6">
        <v>0</v>
      </c>
      <c r="H25" s="6">
        <v>0</v>
      </c>
      <c r="I25" s="7">
        <v>0</v>
      </c>
      <c r="K25" s="9">
        <v>14</v>
      </c>
      <c r="L25" s="26" t="str">
        <v>surprises</v>
      </c>
      <c r="M25" s="27" t="str">
        <v>beneath</v>
      </c>
      <c r="N25" s="27" t="str">
        <v>decorated</v>
      </c>
      <c r="O25" s="28"/>
      <c r="AA25" s="13">
        <f t="shared" si="5"/>
        <v>1</v>
      </c>
      <c r="AB25" s="13">
        <f t="shared" si="5"/>
        <v>1</v>
      </c>
      <c r="AC25" s="13">
        <f t="shared" si="5"/>
        <v>3</v>
      </c>
      <c r="AD25" s="9"/>
      <c r="AE25" s="9"/>
      <c r="AF25" s="9"/>
      <c r="AG25" s="9"/>
      <c r="AH25" s="9"/>
      <c r="AJ25" s="13">
        <f t="shared" si="6"/>
        <v>0</v>
      </c>
      <c r="AK25" s="13">
        <f t="shared" si="6"/>
        <v>1</v>
      </c>
      <c r="AL25" s="13">
        <f t="shared" si="6"/>
        <v>0</v>
      </c>
      <c r="AM25" s="9"/>
      <c r="AN25" s="9"/>
      <c r="AO25" s="9"/>
      <c r="AP25" s="9"/>
      <c r="AQ25" s="9"/>
      <c r="AS25" s="13">
        <f t="shared" si="7"/>
        <v>0</v>
      </c>
      <c r="AT25" s="13">
        <f t="shared" si="7"/>
        <v>0</v>
      </c>
      <c r="AU25" s="13">
        <f t="shared" si="7"/>
        <v>3</v>
      </c>
      <c r="AV25" s="9"/>
      <c r="AW25" s="9"/>
      <c r="AX25" s="9"/>
      <c r="AY25" s="9"/>
      <c r="AZ25" s="9"/>
      <c r="BA25" s="9"/>
      <c r="BB25" s="13">
        <f t="shared" ref="BB25:BD25" si="12">MAX(BB18,0)</f>
        <v>0</v>
      </c>
      <c r="BC25" s="13">
        <f t="shared" si="12"/>
        <v>3</v>
      </c>
      <c r="BD25" s="13">
        <f t="shared" si="12"/>
        <v>1</v>
      </c>
      <c r="BE25" s="9"/>
      <c r="BF25" s="9"/>
      <c r="BG25" s="9"/>
      <c r="BH25" s="9"/>
      <c r="BI25" s="9"/>
      <c r="BJ25" s="9"/>
      <c r="BK25" s="9"/>
      <c r="BM25" s="13">
        <f t="shared" si="9"/>
        <v>0</v>
      </c>
      <c r="BN25" s="13">
        <f t="shared" si="9"/>
        <v>1</v>
      </c>
      <c r="BO25" s="13">
        <f t="shared" si="9"/>
        <v>3</v>
      </c>
      <c r="BP25" s="9"/>
      <c r="BQ25" s="9"/>
      <c r="BR25" s="9"/>
      <c r="BS25" s="9"/>
      <c r="BT25" s="9"/>
      <c r="BY25" s="29" cm="1">
        <f t="array" ref="BY25:CJ25">TRANSPOSE(AJ77:AJ88)</f>
        <v>2</v>
      </c>
      <c r="BZ25" s="27" t="str">
        <v>love</v>
      </c>
      <c r="CA25" s="27" t="str">
        <v>and</v>
      </c>
      <c r="CB25" s="28" t="str">
        <v>warmth</v>
      </c>
      <c r="CC25" s="24">
        <v>0.22686441028737939</v>
      </c>
      <c r="CD25" s="25">
        <v>-0.32998459678164277</v>
      </c>
      <c r="CE25" s="25">
        <v>0.37123267137934812</v>
      </c>
      <c r="CF25" s="25">
        <v>0.30936055948279007</v>
      </c>
      <c r="CG25" s="25">
        <v>0.57747304436787483</v>
      </c>
      <c r="CH25" s="25">
        <v>0</v>
      </c>
      <c r="CI25" s="25">
        <v>-8.2496149195410692E-2</v>
      </c>
      <c r="CJ25" s="43">
        <v>0.51560093247131678</v>
      </c>
      <c r="CL25" s="37">
        <v>0.84245651579216341</v>
      </c>
      <c r="CO25" s="29">
        <v>2</v>
      </c>
      <c r="CP25" s="29">
        <v>3</v>
      </c>
      <c r="CQ25" s="27" t="str">
        <v>families</v>
      </c>
      <c r="CR25" s="27" t="str">
        <v>gather</v>
      </c>
      <c r="CS25" s="28" t="str">
        <v>sharing</v>
      </c>
    </row>
    <row r="26" spans="1:97" x14ac:dyDescent="0.2">
      <c r="A26" t="str">
        <v>Lights</v>
      </c>
      <c r="B26" t="str">
        <v>lights</v>
      </c>
      <c r="C26" t="str">
        <v>twinkle</v>
      </c>
      <c r="D26" t="str">
        <v>creating</v>
      </c>
      <c r="E26" s="5">
        <v>0</v>
      </c>
      <c r="F26" s="6">
        <v>2</v>
      </c>
      <c r="G26" s="6">
        <v>0</v>
      </c>
      <c r="H26" s="6">
        <v>0</v>
      </c>
      <c r="I26" s="7">
        <v>0</v>
      </c>
      <c r="K26" s="9">
        <v>15</v>
      </c>
      <c r="L26" s="26" t="str">
        <v>trees</v>
      </c>
      <c r="M26" s="27" t="str">
        <v>cookies</v>
      </c>
      <c r="N26" s="27" t="str">
        <v>baked</v>
      </c>
      <c r="O26" s="28"/>
      <c r="AA26" s="14">
        <f t="shared" si="5"/>
        <v>1</v>
      </c>
      <c r="AB26" s="14">
        <f t="shared" si="5"/>
        <v>0</v>
      </c>
      <c r="AC26" s="14">
        <f t="shared" si="5"/>
        <v>2</v>
      </c>
      <c r="AD26" s="9"/>
      <c r="AE26" s="9"/>
      <c r="AF26" s="9"/>
      <c r="AG26" s="9"/>
      <c r="AH26" s="9"/>
      <c r="AJ26" s="14">
        <f t="shared" si="6"/>
        <v>3</v>
      </c>
      <c r="AK26" s="14">
        <f t="shared" si="6"/>
        <v>1</v>
      </c>
      <c r="AL26" s="14">
        <f t="shared" si="6"/>
        <v>3</v>
      </c>
      <c r="AM26" s="9"/>
      <c r="AN26" s="9"/>
      <c r="AO26" s="9"/>
      <c r="AP26" s="9"/>
      <c r="AQ26" s="9"/>
      <c r="AS26" s="14">
        <f t="shared" si="7"/>
        <v>3</v>
      </c>
      <c r="AT26" s="14">
        <f t="shared" si="7"/>
        <v>3</v>
      </c>
      <c r="AU26" s="14">
        <f t="shared" si="7"/>
        <v>1</v>
      </c>
      <c r="AV26" s="9"/>
      <c r="AW26" s="9"/>
      <c r="AX26" s="9"/>
      <c r="AY26" s="9"/>
      <c r="AZ26" s="9"/>
      <c r="BA26" s="9"/>
      <c r="BB26" s="14">
        <f t="shared" ref="BB26:BD26" si="13">MAX(BB19,0)</f>
        <v>3</v>
      </c>
      <c r="BC26" s="14">
        <f t="shared" si="13"/>
        <v>3</v>
      </c>
      <c r="BD26" s="14">
        <f t="shared" si="13"/>
        <v>1</v>
      </c>
      <c r="BE26" s="9"/>
      <c r="BF26" s="9"/>
      <c r="BG26" s="9"/>
      <c r="BH26" s="9"/>
      <c r="BI26" s="9"/>
      <c r="BJ26" s="9"/>
      <c r="BK26" s="9"/>
      <c r="BM26" s="14">
        <f t="shared" si="9"/>
        <v>3</v>
      </c>
      <c r="BN26" s="14">
        <f t="shared" si="9"/>
        <v>1</v>
      </c>
      <c r="BO26" s="14">
        <f t="shared" si="9"/>
        <v>2</v>
      </c>
      <c r="BP26" s="9"/>
      <c r="BQ26" s="9"/>
      <c r="BR26" s="9"/>
      <c r="BS26" s="9"/>
      <c r="BT26" s="9"/>
      <c r="BY26" s="29" cm="1">
        <f t="array" ref="BY26:CJ26">TRANSPOSE(AS77:AS88)</f>
        <v>3</v>
      </c>
      <c r="BZ26" s="27" t="str">
        <v>families</v>
      </c>
      <c r="CA26" s="27" t="str">
        <v>gather</v>
      </c>
      <c r="CB26" s="28" t="str">
        <v>sharing</v>
      </c>
      <c r="CC26" s="24">
        <v>0.42734674187745758</v>
      </c>
      <c r="CD26" s="25">
        <v>-1.7806114244894065E-2</v>
      </c>
      <c r="CE26" s="25">
        <v>0.534183427346822</v>
      </c>
      <c r="CF26" s="25">
        <v>0.12464279971425847</v>
      </c>
      <c r="CG26" s="25">
        <v>0.58760177008150416</v>
      </c>
      <c r="CH26" s="25">
        <v>-1.7806114244894065E-2</v>
      </c>
      <c r="CI26" s="25">
        <v>-5.3418342734682198E-2</v>
      </c>
      <c r="CJ26" s="43">
        <v>0.40954062763256355</v>
      </c>
      <c r="CL26" s="37">
        <v>0.84484698276849368</v>
      </c>
      <c r="CO26" s="29">
        <v>3</v>
      </c>
      <c r="CP26" s="29">
        <v>2</v>
      </c>
      <c r="CQ26" s="27" t="str">
        <v>love</v>
      </c>
      <c r="CR26" s="27" t="str">
        <v>and</v>
      </c>
      <c r="CS26" s="28" t="str">
        <v>warmth</v>
      </c>
    </row>
    <row r="27" spans="1:97" x14ac:dyDescent="0.2">
      <c r="A27" t="str">
        <v>twinkle,</v>
      </c>
      <c r="B27" t="str">
        <v>twinkle</v>
      </c>
      <c r="C27" t="str">
        <v>trees</v>
      </c>
      <c r="D27" t="str">
        <v>decorated</v>
      </c>
      <c r="E27" s="5">
        <v>0</v>
      </c>
      <c r="F27" s="6">
        <v>2</v>
      </c>
      <c r="G27" s="6">
        <v>0</v>
      </c>
      <c r="H27" s="6">
        <v>0</v>
      </c>
      <c r="I27" s="7">
        <v>0</v>
      </c>
      <c r="K27" s="9">
        <v>16</v>
      </c>
      <c r="L27" s="26" t="str">
        <v>cocoa</v>
      </c>
      <c r="M27" s="27" t="str">
        <v>poured</v>
      </c>
      <c r="N27" s="27" t="str">
        <v>traditions</v>
      </c>
      <c r="O27" s="28"/>
      <c r="AA27" s="9"/>
      <c r="AB27" s="9"/>
      <c r="AC27" s="9"/>
      <c r="AD27" s="9"/>
      <c r="AE27" s="9"/>
      <c r="AF27" s="9"/>
      <c r="AG27" s="9"/>
      <c r="AH27" s="9"/>
      <c r="AJ27" s="9"/>
      <c r="AK27" s="9"/>
      <c r="AL27" s="9"/>
      <c r="AM27" s="9"/>
      <c r="AN27" s="9"/>
      <c r="AO27" s="9"/>
      <c r="AP27" s="9"/>
      <c r="AQ27" s="9"/>
      <c r="AS27" s="9"/>
      <c r="AT27" s="9"/>
      <c r="AU27" s="9"/>
      <c r="AV27" s="9"/>
      <c r="AW27" s="9"/>
      <c r="AX27" s="9"/>
      <c r="AY27" s="9"/>
      <c r="AZ27" s="9"/>
      <c r="BA27" s="9"/>
      <c r="BB27" s="9"/>
      <c r="BC27" s="9"/>
      <c r="BD27" s="9"/>
      <c r="BE27" s="9"/>
      <c r="BF27" s="9"/>
      <c r="BG27" s="9"/>
      <c r="BH27" s="9"/>
      <c r="BI27" s="9"/>
      <c r="BJ27" s="9"/>
      <c r="BK27" s="9"/>
      <c r="BM27" s="9"/>
      <c r="BN27" s="9"/>
      <c r="BO27" s="9"/>
      <c r="BP27" s="9"/>
      <c r="BQ27" s="9"/>
      <c r="BR27" s="9"/>
      <c r="BS27" s="9"/>
      <c r="BT27" s="9"/>
      <c r="BY27" s="29" cm="1">
        <f t="array" ref="BY27:CJ27">TRANSPOSE(BB77:BB88)</f>
        <v>4</v>
      </c>
      <c r="BZ27" s="27" t="str">
        <v>gifts</v>
      </c>
      <c r="CA27" s="27" t="str">
        <v>laughter</v>
      </c>
      <c r="CB27" s="28" t="str">
        <v>and</v>
      </c>
      <c r="CC27" s="24">
        <v>0.44926035033744194</v>
      </c>
      <c r="CD27" s="25">
        <v>-2.0420925015338272E-2</v>
      </c>
      <c r="CE27" s="25">
        <v>0.36757665027608888</v>
      </c>
      <c r="CF27" s="25">
        <v>6.1262775046014808E-2</v>
      </c>
      <c r="CG27" s="25">
        <v>0.63304867547548638</v>
      </c>
      <c r="CH27" s="25">
        <v>-0.2654720251993975</v>
      </c>
      <c r="CI27" s="25">
        <v>6.1262775046014808E-2</v>
      </c>
      <c r="CJ27" s="43">
        <v>0.42883942532210367</v>
      </c>
      <c r="CL27" s="37">
        <v>0.78286694612907626</v>
      </c>
      <c r="CO27" s="29">
        <v>4</v>
      </c>
      <c r="CP27" s="29">
        <v>4</v>
      </c>
      <c r="CQ27" s="27" t="str">
        <v>gifts</v>
      </c>
      <c r="CR27" s="27" t="str">
        <v>laughter</v>
      </c>
      <c r="CS27" s="28" t="str">
        <v>and</v>
      </c>
    </row>
    <row r="28" spans="1:97" x14ac:dyDescent="0.2">
      <c r="A28" t="str">
        <v>trees</v>
      </c>
      <c r="B28" t="str">
        <v>trees</v>
      </c>
      <c r="C28" t="str">
        <v>sparkle</v>
      </c>
      <c r="D28" t="str">
        <v>dreaming</v>
      </c>
      <c r="E28" s="5">
        <v>0</v>
      </c>
      <c r="F28" s="6">
        <v>0</v>
      </c>
      <c r="G28" s="6">
        <v>2</v>
      </c>
      <c r="H28" s="6">
        <v>0</v>
      </c>
      <c r="I28" s="7">
        <v>0</v>
      </c>
      <c r="K28" s="9">
        <v>17</v>
      </c>
      <c r="L28" s="26" t="str">
        <v>kept</v>
      </c>
      <c r="M28" s="27" t="str">
        <v>smiles</v>
      </c>
      <c r="N28" s="27" t="str">
        <v>hugs</v>
      </c>
      <c r="O28" s="28"/>
      <c r="X28" t="s">
        <v>11</v>
      </c>
      <c r="AA28" s="15" cm="1">
        <f t="array" ref="AA28:AF30">TRANSPOSE(AA21:AC26)</f>
        <v>0</v>
      </c>
      <c r="AB28" s="16">
        <v>3</v>
      </c>
      <c r="AC28" s="16">
        <v>3</v>
      </c>
      <c r="AD28" s="16">
        <v>0</v>
      </c>
      <c r="AE28" s="16">
        <v>1</v>
      </c>
      <c r="AF28" s="17">
        <v>1</v>
      </c>
      <c r="AG28" s="9"/>
      <c r="AH28" s="9"/>
      <c r="AJ28" s="15" cm="1">
        <f t="array" ref="AJ28:AO30">TRANSPOSE(AJ21:AL26)</f>
        <v>1</v>
      </c>
      <c r="AK28" s="16">
        <v>0</v>
      </c>
      <c r="AL28" s="16">
        <v>5</v>
      </c>
      <c r="AM28" s="16">
        <v>2</v>
      </c>
      <c r="AN28" s="16">
        <v>0</v>
      </c>
      <c r="AO28" s="17">
        <v>3</v>
      </c>
      <c r="AP28" s="9"/>
      <c r="AQ28" s="9"/>
      <c r="AS28" s="15" cm="1">
        <f t="array" ref="AS28:AX30">TRANSPOSE(AS21:AU26)</f>
        <v>1</v>
      </c>
      <c r="AT28" s="16">
        <v>0</v>
      </c>
      <c r="AU28" s="16">
        <v>5</v>
      </c>
      <c r="AV28" s="16">
        <v>2</v>
      </c>
      <c r="AW28" s="16">
        <v>0</v>
      </c>
      <c r="AX28" s="17">
        <v>3</v>
      </c>
      <c r="AY28" s="9"/>
      <c r="AZ28" s="9"/>
      <c r="BA28" s="9"/>
      <c r="BB28" s="15" cm="1">
        <f t="array" ref="BB28:BG30">TRANSPOSE(BB21:BD26)</f>
        <v>0</v>
      </c>
      <c r="BC28" s="16">
        <v>0</v>
      </c>
      <c r="BD28" s="16">
        <v>5</v>
      </c>
      <c r="BE28" s="16">
        <v>2</v>
      </c>
      <c r="BF28" s="16">
        <v>0</v>
      </c>
      <c r="BG28" s="17">
        <v>3</v>
      </c>
      <c r="BH28" s="9"/>
      <c r="BI28" s="9"/>
      <c r="BJ28" s="9"/>
      <c r="BK28" s="9"/>
      <c r="BM28" s="15" cm="1">
        <f t="array" ref="BM28:BR30">TRANSPOSE(BM21:BO26)</f>
        <v>0</v>
      </c>
      <c r="BN28" s="16">
        <v>0</v>
      </c>
      <c r="BO28" s="16">
        <v>5</v>
      </c>
      <c r="BP28" s="16">
        <v>2</v>
      </c>
      <c r="BQ28" s="16">
        <v>0</v>
      </c>
      <c r="BR28" s="17">
        <v>3</v>
      </c>
      <c r="BS28" s="9"/>
      <c r="BT28" s="9"/>
    </row>
    <row r="29" spans="1:97" x14ac:dyDescent="0.2">
      <c r="A29" t="str">
        <v>sparkle,</v>
      </c>
      <c r="B29" t="str">
        <v>sparkle</v>
      </c>
      <c r="C29" t="str">
        <v>songs</v>
      </c>
      <c r="D29" t="str">
        <v>eagerly</v>
      </c>
      <c r="E29" s="5">
        <v>0</v>
      </c>
      <c r="F29" s="6">
        <v>0</v>
      </c>
      <c r="G29" s="6">
        <v>2</v>
      </c>
      <c r="H29" s="6">
        <v>0</v>
      </c>
      <c r="I29" s="7">
        <v>0</v>
      </c>
      <c r="K29" s="9">
        <v>18</v>
      </c>
      <c r="L29" s="26" t="str">
        <v>and</v>
      </c>
      <c r="M29" s="27" t="str">
        <v>memories</v>
      </c>
      <c r="N29" s="27" t="str">
        <v>are</v>
      </c>
      <c r="O29" s="28"/>
      <c r="AA29" s="15">
        <v>1</v>
      </c>
      <c r="AB29" s="16">
        <v>1</v>
      </c>
      <c r="AC29" s="16">
        <v>3</v>
      </c>
      <c r="AD29" s="16">
        <v>0</v>
      </c>
      <c r="AE29" s="16">
        <v>1</v>
      </c>
      <c r="AF29" s="17">
        <v>0</v>
      </c>
      <c r="AG29" s="9"/>
      <c r="AH29" s="9"/>
      <c r="AJ29" s="15">
        <v>0</v>
      </c>
      <c r="AK29" s="16">
        <v>3</v>
      </c>
      <c r="AL29" s="16">
        <v>3</v>
      </c>
      <c r="AM29" s="16">
        <v>0</v>
      </c>
      <c r="AN29" s="16">
        <v>1</v>
      </c>
      <c r="AO29" s="17">
        <v>1</v>
      </c>
      <c r="AP29" s="9"/>
      <c r="AQ29" s="9"/>
      <c r="AS29" s="15">
        <v>0</v>
      </c>
      <c r="AT29" s="16">
        <v>0</v>
      </c>
      <c r="AU29" s="16">
        <v>5</v>
      </c>
      <c r="AV29" s="16">
        <v>2</v>
      </c>
      <c r="AW29" s="16">
        <v>0</v>
      </c>
      <c r="AX29" s="17">
        <v>3</v>
      </c>
      <c r="AY29" s="9"/>
      <c r="AZ29" s="9"/>
      <c r="BA29" s="9"/>
      <c r="BB29" s="15">
        <v>0</v>
      </c>
      <c r="BC29" s="16">
        <v>3</v>
      </c>
      <c r="BD29" s="16">
        <v>1</v>
      </c>
      <c r="BE29" s="16">
        <v>2</v>
      </c>
      <c r="BF29" s="16">
        <v>3</v>
      </c>
      <c r="BG29" s="17">
        <v>3</v>
      </c>
      <c r="BH29" s="9"/>
      <c r="BI29" s="9"/>
      <c r="BJ29" s="9"/>
      <c r="BK29" s="9"/>
      <c r="BM29" s="15">
        <v>0</v>
      </c>
      <c r="BN29" s="16">
        <v>3</v>
      </c>
      <c r="BO29" s="16">
        <v>3</v>
      </c>
      <c r="BP29" s="16">
        <v>0</v>
      </c>
      <c r="BQ29" s="16">
        <v>1</v>
      </c>
      <c r="BR29" s="17">
        <v>1</v>
      </c>
      <c r="BS29" s="9"/>
      <c r="BT29" s="9"/>
    </row>
    <row r="30" spans="1:97" x14ac:dyDescent="0.2">
      <c r="A30" t="str">
        <v>songs</v>
      </c>
      <c r="B30" t="str">
        <v>songs</v>
      </c>
      <c r="C30" t="str">
        <v>fill</v>
      </c>
      <c r="D30" t="str">
        <v>families</v>
      </c>
      <c r="E30" s="5">
        <v>0</v>
      </c>
      <c r="F30" s="6">
        <v>0</v>
      </c>
      <c r="G30" s="6">
        <v>2</v>
      </c>
      <c r="H30" s="6">
        <v>0</v>
      </c>
      <c r="I30" s="7">
        <v>0</v>
      </c>
      <c r="K30" s="9">
        <v>19</v>
      </c>
      <c r="L30" s="26" t="str">
        <v>shared</v>
      </c>
      <c r="M30" s="27" t="str">
        <v>creating</v>
      </c>
      <c r="N30" s="27" t="str">
        <v>bonds</v>
      </c>
      <c r="O30" s="28"/>
      <c r="AA30" s="15">
        <v>0</v>
      </c>
      <c r="AB30" s="16">
        <v>3</v>
      </c>
      <c r="AC30" s="16">
        <v>1</v>
      </c>
      <c r="AD30" s="16">
        <v>2</v>
      </c>
      <c r="AE30" s="16">
        <v>3</v>
      </c>
      <c r="AF30" s="17">
        <v>2</v>
      </c>
      <c r="AG30" s="9"/>
      <c r="AH30" s="9"/>
      <c r="AJ30" s="15">
        <v>1</v>
      </c>
      <c r="AK30" s="16">
        <v>0</v>
      </c>
      <c r="AL30" s="16">
        <v>5</v>
      </c>
      <c r="AM30" s="16">
        <v>2</v>
      </c>
      <c r="AN30" s="16">
        <v>0</v>
      </c>
      <c r="AO30" s="17">
        <v>3</v>
      </c>
      <c r="AP30" s="9"/>
      <c r="AQ30" s="9"/>
      <c r="AS30" s="15">
        <v>0</v>
      </c>
      <c r="AT30" s="16">
        <v>3</v>
      </c>
      <c r="AU30" s="16">
        <v>5</v>
      </c>
      <c r="AV30" s="16">
        <v>0</v>
      </c>
      <c r="AW30" s="16">
        <v>3</v>
      </c>
      <c r="AX30" s="17">
        <v>1</v>
      </c>
      <c r="AY30" s="9"/>
      <c r="AZ30" s="9"/>
      <c r="BA30" s="9"/>
      <c r="BB30" s="15">
        <v>0</v>
      </c>
      <c r="BC30" s="16">
        <v>3</v>
      </c>
      <c r="BD30" s="16">
        <v>3</v>
      </c>
      <c r="BE30" s="16">
        <v>0</v>
      </c>
      <c r="BF30" s="16">
        <v>1</v>
      </c>
      <c r="BG30" s="17">
        <v>1</v>
      </c>
      <c r="BH30" s="9"/>
      <c r="BI30" s="9"/>
      <c r="BJ30" s="9"/>
      <c r="BK30" s="9"/>
      <c r="BM30" s="15">
        <v>0</v>
      </c>
      <c r="BN30" s="16">
        <v>3</v>
      </c>
      <c r="BO30" s="16">
        <v>1</v>
      </c>
      <c r="BP30" s="16">
        <v>2</v>
      </c>
      <c r="BQ30" s="16">
        <v>3</v>
      </c>
      <c r="BR30" s="17">
        <v>2</v>
      </c>
      <c r="BS30" s="9"/>
      <c r="BT30" s="9"/>
    </row>
    <row r="31" spans="1:97" x14ac:dyDescent="0.2">
      <c r="A31" t="str">
        <v>fill</v>
      </c>
      <c r="B31" t="str">
        <v>fill</v>
      </c>
      <c r="C31" t="str">
        <v>hearts</v>
      </c>
      <c r="D31" t="str">
        <v>fill</v>
      </c>
      <c r="E31" s="5">
        <v>0</v>
      </c>
      <c r="F31" s="6">
        <v>0</v>
      </c>
      <c r="G31" s="6">
        <v>2</v>
      </c>
      <c r="H31" s="6">
        <v>0</v>
      </c>
      <c r="I31" s="7">
        <v>0</v>
      </c>
      <c r="K31" s="9">
        <v>20</v>
      </c>
      <c r="L31" s="26" t="str">
        <v>strong</v>
      </c>
      <c r="M31" s="27" t="str">
        <v>and</v>
      </c>
      <c r="N31" s="27" t="str">
        <v>lasting</v>
      </c>
      <c r="O31" s="28"/>
      <c r="U31" t="s">
        <v>14</v>
      </c>
      <c r="AA31" s="9"/>
      <c r="AB31" s="9"/>
      <c r="AC31" s="9"/>
      <c r="AD31" s="9"/>
      <c r="AE31" s="9"/>
      <c r="AF31" s="9"/>
      <c r="AG31" s="9"/>
      <c r="AH31" s="9"/>
      <c r="AJ31" s="9"/>
      <c r="AK31" s="9"/>
      <c r="AL31" s="9"/>
      <c r="AM31" s="9"/>
      <c r="AN31" s="9"/>
      <c r="AO31" s="9"/>
      <c r="AP31" s="9"/>
      <c r="AQ31" s="9"/>
      <c r="AS31" s="9"/>
      <c r="AT31" s="9"/>
      <c r="AU31" s="9"/>
      <c r="AV31" s="9"/>
      <c r="AW31" s="9"/>
      <c r="AX31" s="9"/>
      <c r="AY31" s="9"/>
      <c r="AZ31" s="9"/>
      <c r="BA31" s="9"/>
      <c r="BB31" s="9"/>
      <c r="BC31" s="9"/>
      <c r="BD31" s="9"/>
      <c r="BE31" s="9"/>
      <c r="BF31" s="9"/>
      <c r="BG31" s="9"/>
      <c r="BH31" s="9"/>
      <c r="BI31" s="9"/>
      <c r="BJ31" s="9"/>
      <c r="BK31" s="9"/>
      <c r="BM31" s="9"/>
      <c r="BN31" s="9"/>
      <c r="BO31" s="9"/>
      <c r="BP31" s="9"/>
      <c r="BQ31" s="9"/>
      <c r="BR31" s="9"/>
      <c r="BS31" s="9"/>
      <c r="BT31" s="9"/>
    </row>
    <row r="32" spans="1:97" x14ac:dyDescent="0.2">
      <c r="A32" t="str">
        <v>hearts,</v>
      </c>
      <c r="B32" t="str">
        <v>hearts</v>
      </c>
      <c r="C32" t="str">
        <v>spreading</v>
      </c>
      <c r="D32" t="str">
        <v>fires</v>
      </c>
      <c r="E32" s="5">
        <v>0</v>
      </c>
      <c r="F32" s="6">
        <v>0</v>
      </c>
      <c r="G32" s="6">
        <v>2</v>
      </c>
      <c r="H32" s="6">
        <v>0</v>
      </c>
      <c r="I32" s="7">
        <v>0</v>
      </c>
      <c r="K32" s="9">
        <v>21</v>
      </c>
      <c r="L32" s="26" t="str">
        <v>togetherness</v>
      </c>
      <c r="M32" s="27" t="str">
        <v>shines</v>
      </c>
      <c r="N32" s="27" t="str">
        <v>brightly</v>
      </c>
      <c r="O32" s="28"/>
      <c r="T32" t="s">
        <v>31</v>
      </c>
      <c r="U32" s="18">
        <v>0</v>
      </c>
      <c r="V32" s="18">
        <v>1</v>
      </c>
      <c r="W32" s="18">
        <v>1</v>
      </c>
      <c r="X32" s="19">
        <v>-1</v>
      </c>
      <c r="AA32" s="15" cm="1">
        <f t="array" ref="AA32:AF34">MMULT($U32:$W34,_xlfn.ANCHORARRAY($AA28))+X32:X34</f>
        <v>0</v>
      </c>
      <c r="AB32" s="16">
        <v>3</v>
      </c>
      <c r="AC32" s="16">
        <v>3</v>
      </c>
      <c r="AD32" s="16">
        <v>1</v>
      </c>
      <c r="AE32" s="16">
        <v>3</v>
      </c>
      <c r="AF32" s="17">
        <v>1</v>
      </c>
      <c r="AG32" s="9"/>
      <c r="AH32" s="9"/>
      <c r="AJ32" s="15" cm="1">
        <f t="array" ref="AJ32:AO34">MMULT($U32:$W34,_xlfn.ANCHORARRAY($AA28))+AH32:AH34</f>
        <v>1</v>
      </c>
      <c r="AK32" s="16">
        <v>4</v>
      </c>
      <c r="AL32" s="16">
        <v>4</v>
      </c>
      <c r="AM32" s="16">
        <v>2</v>
      </c>
      <c r="AN32" s="16">
        <v>4</v>
      </c>
      <c r="AO32" s="17">
        <v>2</v>
      </c>
      <c r="AP32" s="9"/>
      <c r="AQ32" s="9"/>
      <c r="AS32" s="15" cm="1">
        <f t="array" ref="AS32:AX34">MMULT($U32:$W34,_xlfn.ANCHORARRAY($AA28))+AQ32:AQ34</f>
        <v>1</v>
      </c>
      <c r="AT32" s="16">
        <v>4</v>
      </c>
      <c r="AU32" s="16">
        <v>4</v>
      </c>
      <c r="AV32" s="16">
        <v>2</v>
      </c>
      <c r="AW32" s="16">
        <v>4</v>
      </c>
      <c r="AX32" s="17">
        <v>2</v>
      </c>
      <c r="AY32" s="9"/>
      <c r="AZ32" s="9"/>
      <c r="BA32" s="9"/>
      <c r="BB32" s="15" cm="1">
        <f t="array" ref="BB32:BG34">MMULT($U32:$W34,_xlfn.ANCHORARRAY($AA28))+AZ32:AZ34</f>
        <v>1</v>
      </c>
      <c r="BC32" s="16">
        <v>4</v>
      </c>
      <c r="BD32" s="16">
        <v>4</v>
      </c>
      <c r="BE32" s="16">
        <v>2</v>
      </c>
      <c r="BF32" s="16">
        <v>4</v>
      </c>
      <c r="BG32" s="17">
        <v>2</v>
      </c>
      <c r="BH32" s="9"/>
      <c r="BI32" s="9"/>
      <c r="BJ32" s="9"/>
      <c r="BK32" s="9"/>
      <c r="BM32" s="15" cm="1">
        <f t="array" ref="BM32:BR34">MMULT($U32:$W34,_xlfn.ANCHORARRAY($AA28))+AZ32:AZ34</f>
        <v>1</v>
      </c>
      <c r="BN32" s="16">
        <v>4</v>
      </c>
      <c r="BO32" s="16">
        <v>4</v>
      </c>
      <c r="BP32" s="16">
        <v>2</v>
      </c>
      <c r="BQ32" s="16">
        <v>4</v>
      </c>
      <c r="BR32" s="17">
        <v>2</v>
      </c>
      <c r="BS32" s="9"/>
      <c r="BT32" s="9"/>
    </row>
    <row r="33" spans="1:72" x14ac:dyDescent="0.2">
      <c r="A33" t="str">
        <v>spreading</v>
      </c>
      <c r="B33" t="str">
        <v>spreading</v>
      </c>
      <c r="C33" t="str">
        <v>cheer</v>
      </c>
      <c r="D33" t="str">
        <v>gather</v>
      </c>
      <c r="E33" s="5">
        <v>0</v>
      </c>
      <c r="F33" s="6">
        <v>1</v>
      </c>
      <c r="G33" s="6">
        <v>2</v>
      </c>
      <c r="H33" s="6">
        <v>0</v>
      </c>
      <c r="I33" s="7">
        <v>0</v>
      </c>
      <c r="K33" s="9">
        <v>22</v>
      </c>
      <c r="L33" s="26" t="str">
        <v>lifting</v>
      </c>
      <c r="M33" s="27" t="str">
        <v>spirits</v>
      </c>
      <c r="N33" s="27" t="str">
        <v>high</v>
      </c>
      <c r="O33" s="28"/>
      <c r="U33" s="18">
        <v>1</v>
      </c>
      <c r="V33" s="18">
        <v>0</v>
      </c>
      <c r="W33" s="18">
        <v>1</v>
      </c>
      <c r="X33" s="19">
        <v>-1</v>
      </c>
      <c r="AA33" s="15">
        <v>-1</v>
      </c>
      <c r="AB33" s="16">
        <v>5</v>
      </c>
      <c r="AC33" s="16">
        <v>3</v>
      </c>
      <c r="AD33" s="16">
        <v>1</v>
      </c>
      <c r="AE33" s="16">
        <v>3</v>
      </c>
      <c r="AF33" s="17">
        <v>2</v>
      </c>
      <c r="AG33" s="9"/>
      <c r="AH33" s="9"/>
      <c r="AJ33" s="15">
        <v>0</v>
      </c>
      <c r="AK33" s="16">
        <v>6</v>
      </c>
      <c r="AL33" s="16">
        <v>4</v>
      </c>
      <c r="AM33" s="16">
        <v>2</v>
      </c>
      <c r="AN33" s="16">
        <v>4</v>
      </c>
      <c r="AO33" s="17">
        <v>3</v>
      </c>
      <c r="AP33" s="9"/>
      <c r="AQ33" s="9"/>
      <c r="AS33" s="15">
        <v>0</v>
      </c>
      <c r="AT33" s="16">
        <v>6</v>
      </c>
      <c r="AU33" s="16">
        <v>4</v>
      </c>
      <c r="AV33" s="16">
        <v>2</v>
      </c>
      <c r="AW33" s="16">
        <v>4</v>
      </c>
      <c r="AX33" s="17">
        <v>3</v>
      </c>
      <c r="AY33" s="9"/>
      <c r="AZ33" s="9"/>
      <c r="BA33" s="9"/>
      <c r="BB33" s="15">
        <v>0</v>
      </c>
      <c r="BC33" s="16">
        <v>6</v>
      </c>
      <c r="BD33" s="16">
        <v>4</v>
      </c>
      <c r="BE33" s="16">
        <v>2</v>
      </c>
      <c r="BF33" s="16">
        <v>4</v>
      </c>
      <c r="BG33" s="17">
        <v>3</v>
      </c>
      <c r="BH33" s="9"/>
      <c r="BI33" s="9"/>
      <c r="BJ33" s="9"/>
      <c r="BK33" s="9"/>
      <c r="BM33" s="15">
        <v>0</v>
      </c>
      <c r="BN33" s="16">
        <v>6</v>
      </c>
      <c r="BO33" s="16">
        <v>4</v>
      </c>
      <c r="BP33" s="16">
        <v>2</v>
      </c>
      <c r="BQ33" s="16">
        <v>4</v>
      </c>
      <c r="BR33" s="17">
        <v>3</v>
      </c>
      <c r="BS33" s="9"/>
      <c r="BT33" s="9"/>
    </row>
    <row r="34" spans="1:72" x14ac:dyDescent="0.2">
      <c r="A34" t="str">
        <v>cheer.</v>
      </c>
      <c r="B34" t="str">
        <v>cheer</v>
      </c>
      <c r="C34" t="str">
        <v>snow</v>
      </c>
      <c r="D34" t="str">
        <v>gifts</v>
      </c>
      <c r="E34" s="5">
        <v>0</v>
      </c>
      <c r="F34" s="6">
        <v>1</v>
      </c>
      <c r="G34" s="6">
        <v>2</v>
      </c>
      <c r="H34" s="6">
        <v>0</v>
      </c>
      <c r="I34" s="7">
        <v>0</v>
      </c>
      <c r="K34" s="9">
        <v>23</v>
      </c>
      <c r="L34" s="26"/>
      <c r="M34" s="27"/>
      <c r="N34" s="27"/>
      <c r="O34" s="28"/>
      <c r="U34" s="18">
        <v>0</v>
      </c>
      <c r="V34" s="18">
        <v>1</v>
      </c>
      <c r="W34" s="18">
        <v>0</v>
      </c>
      <c r="X34" s="19">
        <v>0</v>
      </c>
      <c r="AA34" s="15">
        <v>1</v>
      </c>
      <c r="AB34" s="16">
        <v>1</v>
      </c>
      <c r="AC34" s="16">
        <v>3</v>
      </c>
      <c r="AD34" s="16">
        <v>0</v>
      </c>
      <c r="AE34" s="16">
        <v>1</v>
      </c>
      <c r="AF34" s="17">
        <v>0</v>
      </c>
      <c r="AG34" s="9"/>
      <c r="AH34" s="9"/>
      <c r="AJ34" s="15">
        <v>1</v>
      </c>
      <c r="AK34" s="16">
        <v>1</v>
      </c>
      <c r="AL34" s="16">
        <v>3</v>
      </c>
      <c r="AM34" s="16">
        <v>0</v>
      </c>
      <c r="AN34" s="16">
        <v>1</v>
      </c>
      <c r="AO34" s="17">
        <v>0</v>
      </c>
      <c r="AP34" s="9"/>
      <c r="AQ34" s="9"/>
      <c r="AS34" s="15">
        <v>1</v>
      </c>
      <c r="AT34" s="16">
        <v>1</v>
      </c>
      <c r="AU34" s="16">
        <v>3</v>
      </c>
      <c r="AV34" s="16">
        <v>0</v>
      </c>
      <c r="AW34" s="16">
        <v>1</v>
      </c>
      <c r="AX34" s="17">
        <v>0</v>
      </c>
      <c r="AY34" s="9"/>
      <c r="AZ34" s="9"/>
      <c r="BA34" s="9"/>
      <c r="BB34" s="15">
        <v>1</v>
      </c>
      <c r="BC34" s="16">
        <v>1</v>
      </c>
      <c r="BD34" s="16">
        <v>3</v>
      </c>
      <c r="BE34" s="16">
        <v>0</v>
      </c>
      <c r="BF34" s="16">
        <v>1</v>
      </c>
      <c r="BG34" s="17">
        <v>0</v>
      </c>
      <c r="BH34" s="9"/>
      <c r="BI34" s="9"/>
      <c r="BJ34" s="9"/>
      <c r="BK34" s="9"/>
      <c r="BM34" s="15">
        <v>1</v>
      </c>
      <c r="BN34" s="16">
        <v>1</v>
      </c>
      <c r="BO34" s="16">
        <v>3</v>
      </c>
      <c r="BP34" s="16">
        <v>0</v>
      </c>
      <c r="BQ34" s="16">
        <v>1</v>
      </c>
      <c r="BR34" s="17">
        <v>0</v>
      </c>
      <c r="BS34" s="9"/>
      <c r="BT34" s="9"/>
    </row>
    <row r="35" spans="1:72" x14ac:dyDescent="0.2">
      <c r="A35" t="str">
        <v>Snow</v>
      </c>
      <c r="B35" t="str">
        <v>snow</v>
      </c>
      <c r="C35" t="str">
        <v>blankets</v>
      </c>
      <c r="D35" t="str">
        <v>hearts</v>
      </c>
      <c r="E35" s="5">
        <v>0</v>
      </c>
      <c r="F35" s="6">
        <v>1</v>
      </c>
      <c r="G35" s="6">
        <v>2</v>
      </c>
      <c r="H35" s="6">
        <v>0</v>
      </c>
      <c r="I35" s="7">
        <v>0</v>
      </c>
      <c r="K35" s="9">
        <v>24</v>
      </c>
      <c r="L35" s="26"/>
      <c r="M35" s="27"/>
      <c r="N35" s="27"/>
      <c r="O35" s="28"/>
      <c r="AA35" s="9"/>
      <c r="AB35" s="9"/>
      <c r="AC35" s="9"/>
      <c r="AD35" s="9"/>
      <c r="AE35" s="9"/>
      <c r="AF35" s="9"/>
      <c r="AG35" s="9"/>
      <c r="AH35" s="9"/>
      <c r="AJ35" s="9"/>
      <c r="AK35" s="9"/>
      <c r="AL35" s="9"/>
      <c r="AM35" s="9"/>
      <c r="AN35" s="9"/>
      <c r="AO35" s="9"/>
      <c r="AP35" s="9"/>
      <c r="AQ35" s="9"/>
      <c r="AS35" s="9"/>
      <c r="AT35" s="9"/>
      <c r="AU35" s="9"/>
      <c r="AV35" s="9"/>
      <c r="AW35" s="9"/>
      <c r="AX35" s="9"/>
      <c r="AY35" s="9"/>
      <c r="AZ35" s="9"/>
      <c r="BA35" s="9"/>
      <c r="BB35" s="9"/>
      <c r="BC35" s="9"/>
      <c r="BD35" s="9"/>
      <c r="BE35" s="9"/>
      <c r="BF35" s="9"/>
      <c r="BG35" s="9"/>
      <c r="BH35" s="9"/>
      <c r="BI35" s="9"/>
      <c r="BJ35" s="9"/>
      <c r="BK35" s="9"/>
      <c r="BM35" s="9"/>
      <c r="BN35" s="9"/>
      <c r="BO35" s="9"/>
      <c r="BP35" s="9"/>
      <c r="BQ35" s="9"/>
      <c r="BR35" s="9"/>
      <c r="BS35" s="9"/>
      <c r="BT35" s="9"/>
    </row>
    <row r="36" spans="1:72" x14ac:dyDescent="0.2">
      <c r="A36" t="str">
        <v>blankets</v>
      </c>
      <c r="B36" t="str">
        <v>blankets</v>
      </c>
      <c r="C36" t="str">
        <v>streets</v>
      </c>
      <c r="D36" t="str">
        <v>high</v>
      </c>
      <c r="E36" s="5">
        <v>0</v>
      </c>
      <c r="F36" s="6">
        <v>0</v>
      </c>
      <c r="G36" s="6">
        <v>2</v>
      </c>
      <c r="H36" s="6">
        <v>0</v>
      </c>
      <c r="I36" s="7">
        <v>0</v>
      </c>
      <c r="K36" s="9">
        <v>25</v>
      </c>
      <c r="L36" s="26"/>
      <c r="M36" s="27"/>
      <c r="N36" s="27"/>
      <c r="O36" s="28"/>
      <c r="X36" t="s">
        <v>11</v>
      </c>
      <c r="AA36" s="12" cm="1">
        <f t="array" ref="AA36:AC41">TRANSPOSE(_xlfn.ANCHORARRAY(AA32))</f>
        <v>0</v>
      </c>
      <c r="AB36" s="12">
        <v>-1</v>
      </c>
      <c r="AC36" s="12">
        <v>1</v>
      </c>
      <c r="AD36" s="9"/>
      <c r="AE36" s="9"/>
      <c r="AF36" s="9"/>
      <c r="AG36" s="9"/>
      <c r="AH36" s="9"/>
      <c r="AJ36" s="12" cm="1">
        <f t="array" ref="AJ36:AL41">TRANSPOSE(_xlfn.ANCHORARRAY(AJ32))</f>
        <v>1</v>
      </c>
      <c r="AK36" s="12">
        <v>0</v>
      </c>
      <c r="AL36" s="12">
        <v>1</v>
      </c>
      <c r="AM36" s="9"/>
      <c r="AN36" s="9"/>
      <c r="AO36" s="9"/>
      <c r="AP36" s="9"/>
      <c r="AQ36" s="9"/>
      <c r="AS36" s="12" cm="1">
        <f t="array" ref="AS36:AU41">TRANSPOSE(_xlfn.ANCHORARRAY(AS32))</f>
        <v>1</v>
      </c>
      <c r="AT36" s="12">
        <v>0</v>
      </c>
      <c r="AU36" s="12">
        <v>1</v>
      </c>
      <c r="AV36" s="9"/>
      <c r="AW36" s="9"/>
      <c r="AX36" s="9"/>
      <c r="AY36" s="9"/>
      <c r="AZ36" s="9"/>
      <c r="BA36" s="9"/>
      <c r="BB36" s="12" cm="1">
        <f t="array" ref="BB36:BD41">TRANSPOSE(_xlfn.ANCHORARRAY(BB32))</f>
        <v>1</v>
      </c>
      <c r="BC36" s="12">
        <v>0</v>
      </c>
      <c r="BD36" s="12">
        <v>1</v>
      </c>
      <c r="BE36" s="9"/>
      <c r="BF36" s="9"/>
      <c r="BG36" s="9"/>
      <c r="BH36" s="9"/>
      <c r="BI36" s="9"/>
      <c r="BJ36" s="9"/>
      <c r="BK36" s="9"/>
      <c r="BM36" s="12" cm="1">
        <f t="array" ref="BM36:BO41">TRANSPOSE(_xlfn.ANCHORARRAY(BM32))</f>
        <v>1</v>
      </c>
      <c r="BN36" s="12">
        <v>0</v>
      </c>
      <c r="BO36" s="12">
        <v>1</v>
      </c>
      <c r="BP36" s="9"/>
      <c r="BQ36" s="9"/>
      <c r="BR36" s="9"/>
      <c r="BS36" s="9"/>
      <c r="BT36" s="9"/>
    </row>
    <row r="37" spans="1:72" x14ac:dyDescent="0.2">
      <c r="A37" t="str">
        <v>streets,</v>
      </c>
      <c r="B37" t="str">
        <v>streets</v>
      </c>
      <c r="C37" t="str">
        <v>transforming</v>
      </c>
      <c r="D37" t="str">
        <v>hugs</v>
      </c>
      <c r="E37" s="5">
        <v>0</v>
      </c>
      <c r="F37" s="6">
        <v>0</v>
      </c>
      <c r="G37" s="6">
        <v>2</v>
      </c>
      <c r="H37" s="6">
        <v>2</v>
      </c>
      <c r="I37" s="7">
        <v>0</v>
      </c>
      <c r="K37" s="9">
        <v>26</v>
      </c>
      <c r="L37" s="26"/>
      <c r="M37" s="27"/>
      <c r="N37" s="27"/>
      <c r="O37" s="28"/>
      <c r="AA37" s="13">
        <v>3</v>
      </c>
      <c r="AB37" s="13">
        <v>5</v>
      </c>
      <c r="AC37" s="13">
        <v>1</v>
      </c>
      <c r="AD37" s="9"/>
      <c r="AE37" s="9"/>
      <c r="AF37" s="9"/>
      <c r="AG37" s="9"/>
      <c r="AH37" s="9"/>
      <c r="AJ37" s="13">
        <v>4</v>
      </c>
      <c r="AK37" s="13">
        <v>6</v>
      </c>
      <c r="AL37" s="13">
        <v>1</v>
      </c>
      <c r="AM37" s="9"/>
      <c r="AN37" s="9"/>
      <c r="AO37" s="9"/>
      <c r="AP37" s="9"/>
      <c r="AQ37" s="9"/>
      <c r="AS37" s="13">
        <v>4</v>
      </c>
      <c r="AT37" s="13">
        <v>6</v>
      </c>
      <c r="AU37" s="13">
        <v>1</v>
      </c>
      <c r="AV37" s="9"/>
      <c r="AW37" s="9"/>
      <c r="AX37" s="9"/>
      <c r="AY37" s="9"/>
      <c r="AZ37" s="9"/>
      <c r="BA37" s="9"/>
      <c r="BB37" s="13">
        <v>4</v>
      </c>
      <c r="BC37" s="13">
        <v>6</v>
      </c>
      <c r="BD37" s="13">
        <v>1</v>
      </c>
      <c r="BE37" s="9"/>
      <c r="BF37" s="9"/>
      <c r="BG37" s="9"/>
      <c r="BH37" s="9"/>
      <c r="BI37" s="9"/>
      <c r="BJ37" s="9"/>
      <c r="BK37" s="9"/>
      <c r="BM37" s="13">
        <v>4</v>
      </c>
      <c r="BN37" s="13">
        <v>6</v>
      </c>
      <c r="BO37" s="13">
        <v>1</v>
      </c>
      <c r="BP37" s="9"/>
      <c r="BQ37" s="9"/>
      <c r="BR37" s="9"/>
      <c r="BS37" s="9"/>
      <c r="BT37" s="9"/>
    </row>
    <row r="38" spans="1:72" x14ac:dyDescent="0.2">
      <c r="A38" t="str">
        <v>transforming</v>
      </c>
      <c r="B38" t="str">
        <v>transforming</v>
      </c>
      <c r="C38" t="str">
        <v>towns</v>
      </c>
      <c r="D38" t="str">
        <v>into</v>
      </c>
      <c r="E38" s="5">
        <v>0</v>
      </c>
      <c r="F38" s="6">
        <v>1</v>
      </c>
      <c r="G38" s="6">
        <v>0</v>
      </c>
      <c r="H38" s="6">
        <v>2</v>
      </c>
      <c r="I38" s="7">
        <v>0</v>
      </c>
      <c r="K38" s="9">
        <v>27</v>
      </c>
      <c r="L38" s="26"/>
      <c r="M38" s="27"/>
      <c r="N38" s="27"/>
      <c r="O38" s="28"/>
      <c r="AA38" s="13">
        <v>3</v>
      </c>
      <c r="AB38" s="13">
        <v>3</v>
      </c>
      <c r="AC38" s="13">
        <v>3</v>
      </c>
      <c r="AD38" s="9"/>
      <c r="AE38" s="9"/>
      <c r="AF38" s="9"/>
      <c r="AG38" s="9"/>
      <c r="AH38" s="9"/>
      <c r="AJ38" s="13">
        <v>4</v>
      </c>
      <c r="AK38" s="13">
        <v>4</v>
      </c>
      <c r="AL38" s="13">
        <v>3</v>
      </c>
      <c r="AM38" s="9"/>
      <c r="AN38" s="9"/>
      <c r="AO38" s="9"/>
      <c r="AP38" s="9"/>
      <c r="AQ38" s="9"/>
      <c r="AS38" s="13">
        <v>4</v>
      </c>
      <c r="AT38" s="13">
        <v>4</v>
      </c>
      <c r="AU38" s="13">
        <v>3</v>
      </c>
      <c r="AV38" s="9"/>
      <c r="AW38" s="9"/>
      <c r="AX38" s="9"/>
      <c r="AY38" s="9"/>
      <c r="AZ38" s="9"/>
      <c r="BA38" s="9"/>
      <c r="BB38" s="13">
        <v>4</v>
      </c>
      <c r="BC38" s="13">
        <v>4</v>
      </c>
      <c r="BD38" s="13">
        <v>3</v>
      </c>
      <c r="BE38" s="9"/>
      <c r="BF38" s="9"/>
      <c r="BG38" s="9"/>
      <c r="BH38" s="9"/>
      <c r="BI38" s="9"/>
      <c r="BJ38" s="9"/>
      <c r="BK38" s="9"/>
      <c r="BM38" s="13">
        <v>4</v>
      </c>
      <c r="BN38" s="13">
        <v>4</v>
      </c>
      <c r="BO38" s="13">
        <v>3</v>
      </c>
      <c r="BP38" s="9"/>
      <c r="BQ38" s="9"/>
      <c r="BR38" s="9"/>
      <c r="BS38" s="9"/>
      <c r="BT38" s="9"/>
    </row>
    <row r="39" spans="1:72" x14ac:dyDescent="0.2">
      <c r="A39" t="str">
        <v>towns</v>
      </c>
      <c r="B39" t="str">
        <v>towns</v>
      </c>
      <c r="C39" t="str">
        <v>into</v>
      </c>
      <c r="D39" t="str">
        <v>joy</v>
      </c>
      <c r="E39" s="5">
        <v>1</v>
      </c>
      <c r="F39" s="6">
        <v>0</v>
      </c>
      <c r="G39" s="6">
        <v>0</v>
      </c>
      <c r="H39" s="6">
        <v>2</v>
      </c>
      <c r="I39" s="7">
        <v>0</v>
      </c>
      <c r="K39" s="9">
        <v>28</v>
      </c>
      <c r="L39" s="26"/>
      <c r="M39" s="27"/>
      <c r="N39" s="27"/>
      <c r="O39" s="28"/>
      <c r="AA39" s="13">
        <v>1</v>
      </c>
      <c r="AB39" s="13">
        <v>1</v>
      </c>
      <c r="AC39" s="13">
        <v>0</v>
      </c>
      <c r="AD39" s="9"/>
      <c r="AE39" s="9"/>
      <c r="AF39" s="9"/>
      <c r="AG39" s="9"/>
      <c r="AH39" s="9"/>
      <c r="AJ39" s="13">
        <v>2</v>
      </c>
      <c r="AK39" s="13">
        <v>2</v>
      </c>
      <c r="AL39" s="13">
        <v>0</v>
      </c>
      <c r="AM39" s="9"/>
      <c r="AN39" s="9"/>
      <c r="AO39" s="9"/>
      <c r="AP39" s="9"/>
      <c r="AQ39" s="9"/>
      <c r="AS39" s="13">
        <v>2</v>
      </c>
      <c r="AT39" s="13">
        <v>2</v>
      </c>
      <c r="AU39" s="13">
        <v>0</v>
      </c>
      <c r="AV39" s="9"/>
      <c r="AW39" s="9"/>
      <c r="AX39" s="9"/>
      <c r="AY39" s="9"/>
      <c r="AZ39" s="9"/>
      <c r="BA39" s="9"/>
      <c r="BB39" s="13">
        <v>2</v>
      </c>
      <c r="BC39" s="13">
        <v>2</v>
      </c>
      <c r="BD39" s="13">
        <v>0</v>
      </c>
      <c r="BE39" s="9"/>
      <c r="BF39" s="9"/>
      <c r="BG39" s="9"/>
      <c r="BH39" s="9"/>
      <c r="BI39" s="9"/>
      <c r="BJ39" s="9"/>
      <c r="BK39" s="9"/>
      <c r="BM39" s="13">
        <v>2</v>
      </c>
      <c r="BN39" s="13">
        <v>2</v>
      </c>
      <c r="BO39" s="13">
        <v>0</v>
      </c>
      <c r="BP39" s="9"/>
      <c r="BQ39" s="9"/>
      <c r="BR39" s="9"/>
      <c r="BS39" s="9"/>
      <c r="BT39" s="9"/>
    </row>
    <row r="40" spans="1:72" x14ac:dyDescent="0.2">
      <c r="A40" t="str">
        <v>into</v>
      </c>
      <c r="B40" t="str">
        <v>into</v>
      </c>
      <c r="C40" t="str">
        <v>winter</v>
      </c>
      <c r="D40" t="str">
        <v>kept</v>
      </c>
      <c r="E40" s="5">
        <v>0</v>
      </c>
      <c r="F40" s="6">
        <v>0</v>
      </c>
      <c r="G40" s="6">
        <v>0</v>
      </c>
      <c r="H40" s="6">
        <v>2</v>
      </c>
      <c r="I40" s="7">
        <v>0</v>
      </c>
      <c r="K40" s="9">
        <v>29</v>
      </c>
      <c r="L40" s="26"/>
      <c r="M40" s="27"/>
      <c r="N40" s="27"/>
      <c r="O40" s="28"/>
      <c r="AA40" s="13">
        <v>3</v>
      </c>
      <c r="AB40" s="13">
        <v>3</v>
      </c>
      <c r="AC40" s="13">
        <v>1</v>
      </c>
      <c r="AD40" s="9"/>
      <c r="AE40" s="9"/>
      <c r="AF40" s="9"/>
      <c r="AG40" s="9"/>
      <c r="AH40" s="9"/>
      <c r="AJ40" s="13">
        <v>4</v>
      </c>
      <c r="AK40" s="13">
        <v>4</v>
      </c>
      <c r="AL40" s="13">
        <v>1</v>
      </c>
      <c r="AM40" s="9"/>
      <c r="AN40" s="9"/>
      <c r="AO40" s="9"/>
      <c r="AP40" s="9"/>
      <c r="AQ40" s="9"/>
      <c r="AS40" s="13">
        <v>4</v>
      </c>
      <c r="AT40" s="13">
        <v>4</v>
      </c>
      <c r="AU40" s="13">
        <v>1</v>
      </c>
      <c r="AV40" s="9"/>
      <c r="AW40" s="9"/>
      <c r="AX40" s="9"/>
      <c r="AY40" s="9"/>
      <c r="AZ40" s="9"/>
      <c r="BA40" s="9"/>
      <c r="BB40" s="13">
        <v>4</v>
      </c>
      <c r="BC40" s="13">
        <v>4</v>
      </c>
      <c r="BD40" s="13">
        <v>1</v>
      </c>
      <c r="BE40" s="9"/>
      <c r="BF40" s="9"/>
      <c r="BG40" s="9"/>
      <c r="BH40" s="9"/>
      <c r="BI40" s="9"/>
      <c r="BJ40" s="9"/>
      <c r="BK40" s="9"/>
      <c r="BM40" s="13">
        <v>4</v>
      </c>
      <c r="BN40" s="13">
        <v>4</v>
      </c>
      <c r="BO40" s="13">
        <v>1</v>
      </c>
      <c r="BP40" s="9"/>
      <c r="BQ40" s="9"/>
      <c r="BR40" s="9"/>
      <c r="BS40" s="9"/>
      <c r="BT40" s="9"/>
    </row>
    <row r="41" spans="1:72" x14ac:dyDescent="0.2">
      <c r="A41" t="str">
        <v>winter</v>
      </c>
      <c r="B41" t="str">
        <v>winter</v>
      </c>
      <c r="C41" t="str">
        <v>wonderlands</v>
      </c>
      <c r="D41" t="str">
        <v>lasting</v>
      </c>
      <c r="E41" s="5">
        <v>0</v>
      </c>
      <c r="F41" s="6">
        <v>0</v>
      </c>
      <c r="G41" s="6">
        <v>0</v>
      </c>
      <c r="H41" s="6">
        <v>2</v>
      </c>
      <c r="I41" s="7">
        <v>0</v>
      </c>
      <c r="K41" s="9">
        <v>30</v>
      </c>
      <c r="L41" s="26"/>
      <c r="M41" s="27"/>
      <c r="N41" s="27"/>
      <c r="O41" s="28"/>
      <c r="AA41" s="14">
        <v>1</v>
      </c>
      <c r="AB41" s="14">
        <v>2</v>
      </c>
      <c r="AC41" s="14">
        <v>0</v>
      </c>
      <c r="AD41" s="9"/>
      <c r="AE41" s="9"/>
      <c r="AF41" s="9"/>
      <c r="AG41" s="9"/>
      <c r="AH41" s="9"/>
      <c r="AJ41" s="14">
        <v>2</v>
      </c>
      <c r="AK41" s="14">
        <v>3</v>
      </c>
      <c r="AL41" s="14">
        <v>0</v>
      </c>
      <c r="AM41" s="9"/>
      <c r="AN41" s="9"/>
      <c r="AO41" s="9"/>
      <c r="AP41" s="9"/>
      <c r="AQ41" s="9"/>
      <c r="AS41" s="14">
        <v>2</v>
      </c>
      <c r="AT41" s="14">
        <v>3</v>
      </c>
      <c r="AU41" s="14">
        <v>0</v>
      </c>
      <c r="AV41" s="9"/>
      <c r="AW41" s="9"/>
      <c r="AX41" s="9"/>
      <c r="AY41" s="9"/>
      <c r="AZ41" s="9"/>
      <c r="BA41" s="9"/>
      <c r="BB41" s="14">
        <v>2</v>
      </c>
      <c r="BC41" s="14">
        <v>3</v>
      </c>
      <c r="BD41" s="14">
        <v>0</v>
      </c>
      <c r="BE41" s="9"/>
      <c r="BF41" s="9"/>
      <c r="BG41" s="9"/>
      <c r="BH41" s="9"/>
      <c r="BI41" s="9"/>
      <c r="BJ41" s="9"/>
      <c r="BK41" s="9"/>
      <c r="BM41" s="14">
        <v>2</v>
      </c>
      <c r="BN41" s="14">
        <v>3</v>
      </c>
      <c r="BO41" s="14">
        <v>0</v>
      </c>
      <c r="BP41" s="9"/>
      <c r="BQ41" s="9"/>
      <c r="BR41" s="9"/>
      <c r="BS41" s="9"/>
      <c r="BT41" s="9"/>
    </row>
    <row r="42" spans="1:72" x14ac:dyDescent="0.2">
      <c r="A42" t="str">
        <v>wonderlands.</v>
      </c>
      <c r="B42" t="str">
        <v>wonderlands</v>
      </c>
      <c r="C42" t="str">
        <v>children</v>
      </c>
      <c r="D42" t="str">
        <v>laughter</v>
      </c>
      <c r="E42" s="5">
        <v>0</v>
      </c>
      <c r="F42" s="6">
        <v>0</v>
      </c>
      <c r="G42" s="6">
        <v>0</v>
      </c>
      <c r="H42" s="6">
        <v>2</v>
      </c>
      <c r="I42" s="7">
        <v>0</v>
      </c>
      <c r="R42" t="s">
        <v>15</v>
      </c>
      <c r="AA42" s="9"/>
      <c r="AB42" s="9"/>
      <c r="AC42" s="9"/>
      <c r="AD42" s="9"/>
      <c r="AE42" s="9"/>
      <c r="AF42" s="9"/>
      <c r="AG42" s="9"/>
      <c r="AH42" s="9"/>
      <c r="AJ42" s="9"/>
      <c r="AK42" s="9"/>
      <c r="AL42" s="9"/>
      <c r="AM42" s="9"/>
      <c r="AN42" s="9"/>
      <c r="AO42" s="9"/>
      <c r="AP42" s="9"/>
      <c r="AQ42" s="9"/>
      <c r="AS42" s="9"/>
      <c r="AT42" s="9"/>
      <c r="AU42" s="9"/>
      <c r="AV42" s="9"/>
      <c r="AW42" s="9"/>
      <c r="AX42" s="9"/>
      <c r="AY42" s="9"/>
      <c r="AZ42" s="9"/>
      <c r="BA42" s="9"/>
      <c r="BB42" s="9"/>
      <c r="BC42" s="9"/>
      <c r="BD42" s="9"/>
      <c r="BE42" s="9"/>
      <c r="BF42" s="9"/>
      <c r="BG42" s="9"/>
      <c r="BH42" s="9"/>
      <c r="BI42" s="9"/>
      <c r="BJ42" s="9"/>
      <c r="BK42" s="9"/>
      <c r="BM42" s="9"/>
      <c r="BN42" s="9"/>
      <c r="BO42" s="9"/>
      <c r="BP42" s="9"/>
      <c r="BQ42" s="9"/>
      <c r="BR42" s="9"/>
      <c r="BS42" s="9"/>
      <c r="BT42" s="9"/>
    </row>
    <row r="43" spans="1:72" x14ac:dyDescent="0.2">
      <c r="A43" t="str">
        <v>Children</v>
      </c>
      <c r="B43" t="str">
        <v>children</v>
      </c>
      <c r="C43" t="str">
        <v>eagerly</v>
      </c>
      <c r="D43" t="str">
        <v>lifting</v>
      </c>
      <c r="E43" s="5">
        <v>0</v>
      </c>
      <c r="F43" s="6">
        <v>0</v>
      </c>
      <c r="G43" s="6">
        <v>2</v>
      </c>
      <c r="H43" s="6">
        <v>2</v>
      </c>
      <c r="I43" s="7">
        <v>0</v>
      </c>
      <c r="Q43" t="s">
        <v>31</v>
      </c>
      <c r="R43" s="18">
        <v>0</v>
      </c>
      <c r="S43" s="18">
        <v>1</v>
      </c>
      <c r="T43" s="18">
        <v>1</v>
      </c>
      <c r="U43" s="18">
        <v>0</v>
      </c>
      <c r="V43" s="18">
        <v>0</v>
      </c>
      <c r="W43" s="18">
        <v>0</v>
      </c>
      <c r="X43" s="19">
        <v>-1</v>
      </c>
      <c r="AA43" s="12" cm="1">
        <f t="array" ref="AA43:AC50">MMULT($R43:$W50,_xlfn.ANCHORARRAY(AA14))+$X43:$X50</f>
        <v>5</v>
      </c>
      <c r="AB43" s="12">
        <v>3</v>
      </c>
      <c r="AC43" s="12">
        <v>3</v>
      </c>
      <c r="AD43" s="9"/>
      <c r="AE43" s="9"/>
      <c r="AF43" s="9"/>
      <c r="AG43" s="9"/>
      <c r="AH43" s="9"/>
      <c r="AJ43" s="12" cm="1">
        <f t="array" ref="AJ43:AL50">MMULT($R43:$W50,_xlfn.ANCHORARRAY(AJ14))+$X43:$X50</f>
        <v>3</v>
      </c>
      <c r="AK43" s="12">
        <v>5</v>
      </c>
      <c r="AL43" s="12">
        <v>3</v>
      </c>
      <c r="AM43" s="9"/>
      <c r="AN43" s="9"/>
      <c r="AO43" s="9"/>
      <c r="AP43" s="9"/>
      <c r="AQ43" s="9"/>
      <c r="AS43" s="12" cm="1">
        <f t="array" ref="AS43:AU50">MMULT($R43:$W50,_xlfn.ANCHORARRAY(AS14))+$X43:$X50</f>
        <v>3</v>
      </c>
      <c r="AT43" s="12">
        <v>4</v>
      </c>
      <c r="AU43" s="12">
        <v>7</v>
      </c>
      <c r="AV43" s="9"/>
      <c r="AW43" s="9"/>
      <c r="AX43" s="9"/>
      <c r="AY43" s="9"/>
      <c r="AZ43" s="9"/>
      <c r="BA43" s="9"/>
      <c r="BB43" s="12" cm="1">
        <f t="array" ref="BB43:BD50">MMULT($R43:$W50,_xlfn.ANCHORARRAY(BB14))+$X43:$X50</f>
        <v>4</v>
      </c>
      <c r="BC43" s="12">
        <v>3</v>
      </c>
      <c r="BD43" s="12">
        <v>5</v>
      </c>
      <c r="BE43" s="9"/>
      <c r="BF43" s="9"/>
      <c r="BG43" s="9"/>
      <c r="BH43" s="9"/>
      <c r="BI43" s="9"/>
      <c r="BJ43" s="9"/>
      <c r="BK43" s="9"/>
      <c r="BM43" s="12" cm="1">
        <f t="array" ref="BM43:BO50">MMULT($R43:$W50,_xlfn.ANCHORARRAY(BM14))+$X43:$X50</f>
        <v>4</v>
      </c>
      <c r="BN43" s="12">
        <v>5</v>
      </c>
      <c r="BO43" s="12">
        <v>3</v>
      </c>
      <c r="BP43" s="9"/>
      <c r="BQ43" s="9"/>
      <c r="BR43" s="9"/>
      <c r="BS43" s="9"/>
      <c r="BT43" s="9"/>
    </row>
    <row r="44" spans="1:72" x14ac:dyDescent="0.2">
      <c r="A44" t="str">
        <v>eagerly</v>
      </c>
      <c r="B44" t="str">
        <v>eagerly</v>
      </c>
      <c r="C44" t="str">
        <v>await</v>
      </c>
      <c r="D44" t="str">
        <v>lights</v>
      </c>
      <c r="E44" s="5">
        <v>0</v>
      </c>
      <c r="F44" s="6">
        <v>0</v>
      </c>
      <c r="G44" s="6">
        <v>2</v>
      </c>
      <c r="H44" s="6">
        <v>2</v>
      </c>
      <c r="I44" s="7">
        <v>0</v>
      </c>
      <c r="R44" s="18">
        <v>0</v>
      </c>
      <c r="S44" s="18">
        <v>1</v>
      </c>
      <c r="T44" s="18">
        <v>0</v>
      </c>
      <c r="U44" s="18">
        <v>0</v>
      </c>
      <c r="V44" s="18">
        <v>0</v>
      </c>
      <c r="W44" s="18">
        <v>0</v>
      </c>
      <c r="X44" s="19">
        <v>-1</v>
      </c>
      <c r="AA44" s="13">
        <v>2</v>
      </c>
      <c r="AB44" s="13">
        <v>0</v>
      </c>
      <c r="AC44" s="13">
        <v>2</v>
      </c>
      <c r="AD44" s="9"/>
      <c r="AE44" s="9"/>
      <c r="AF44" s="9"/>
      <c r="AG44" s="9"/>
      <c r="AH44" s="9"/>
      <c r="AJ44" s="13">
        <v>-2</v>
      </c>
      <c r="AK44" s="13">
        <v>2</v>
      </c>
      <c r="AL44" s="13">
        <v>-2</v>
      </c>
      <c r="AM44" s="9"/>
      <c r="AN44" s="9"/>
      <c r="AO44" s="9"/>
      <c r="AP44" s="9"/>
      <c r="AQ44" s="9"/>
      <c r="AS44" s="13">
        <v>-2</v>
      </c>
      <c r="AT44" s="13">
        <v>-1</v>
      </c>
      <c r="AU44" s="13">
        <v>2</v>
      </c>
      <c r="AV44" s="9"/>
      <c r="AW44" s="9"/>
      <c r="AX44" s="9"/>
      <c r="AY44" s="9"/>
      <c r="AZ44" s="9"/>
      <c r="BA44" s="9"/>
      <c r="BB44" s="13">
        <v>-1</v>
      </c>
      <c r="BC44" s="13">
        <v>2</v>
      </c>
      <c r="BD44" s="13">
        <v>2</v>
      </c>
      <c r="BE44" s="9"/>
      <c r="BF44" s="9"/>
      <c r="BG44" s="9"/>
      <c r="BH44" s="9"/>
      <c r="BI44" s="9"/>
      <c r="BJ44" s="9"/>
      <c r="BK44" s="9"/>
      <c r="BM44" s="13">
        <v>-1</v>
      </c>
      <c r="BN44" s="13">
        <v>2</v>
      </c>
      <c r="BO44" s="13">
        <v>2</v>
      </c>
      <c r="BP44" s="9"/>
      <c r="BQ44" s="9"/>
      <c r="BR44" s="9"/>
      <c r="BS44" s="9"/>
      <c r="BT44" s="9"/>
    </row>
    <row r="45" spans="1:72" x14ac:dyDescent="0.2">
      <c r="A45" t="str">
        <v>await</v>
      </c>
      <c r="B45" t="str">
        <v>await</v>
      </c>
      <c r="C45" t="str">
        <v>santa</v>
      </c>
      <c r="D45" t="str">
        <v>love</v>
      </c>
      <c r="E45" s="5">
        <v>0</v>
      </c>
      <c r="F45" s="6">
        <v>0</v>
      </c>
      <c r="G45" s="6">
        <v>2</v>
      </c>
      <c r="H45" s="6">
        <v>0</v>
      </c>
      <c r="I45" s="7">
        <v>0</v>
      </c>
      <c r="R45" s="18">
        <v>0</v>
      </c>
      <c r="S45" s="18">
        <v>0</v>
      </c>
      <c r="T45" s="18">
        <v>1</v>
      </c>
      <c r="U45" s="18">
        <v>0</v>
      </c>
      <c r="V45" s="18">
        <v>1</v>
      </c>
      <c r="W45" s="18">
        <v>0</v>
      </c>
      <c r="X45" s="19">
        <v>0</v>
      </c>
      <c r="AA45" s="13">
        <v>4</v>
      </c>
      <c r="AB45" s="13">
        <v>4</v>
      </c>
      <c r="AC45" s="13">
        <v>4</v>
      </c>
      <c r="AD45" s="9"/>
      <c r="AE45" s="9"/>
      <c r="AF45" s="9"/>
      <c r="AG45" s="9"/>
      <c r="AH45" s="9"/>
      <c r="AJ45" s="13">
        <v>4</v>
      </c>
      <c r="AK45" s="13">
        <v>4</v>
      </c>
      <c r="AL45" s="13">
        <v>4</v>
      </c>
      <c r="AM45" s="9"/>
      <c r="AN45" s="9"/>
      <c r="AO45" s="9"/>
      <c r="AP45" s="9"/>
      <c r="AQ45" s="9"/>
      <c r="AS45" s="13">
        <v>4</v>
      </c>
      <c r="AT45" s="13">
        <v>4</v>
      </c>
      <c r="AU45" s="13">
        <v>8</v>
      </c>
      <c r="AV45" s="9"/>
      <c r="AW45" s="9"/>
      <c r="AX45" s="9"/>
      <c r="AY45" s="9"/>
      <c r="AZ45" s="9"/>
      <c r="BA45" s="9"/>
      <c r="BB45" s="13">
        <v>4</v>
      </c>
      <c r="BC45" s="13">
        <v>4</v>
      </c>
      <c r="BD45" s="13">
        <v>4</v>
      </c>
      <c r="BE45" s="9"/>
      <c r="BF45" s="9"/>
      <c r="BG45" s="9"/>
      <c r="BH45" s="9"/>
      <c r="BI45" s="9"/>
      <c r="BJ45" s="9"/>
      <c r="BK45" s="9"/>
      <c r="BM45" s="13">
        <v>4</v>
      </c>
      <c r="BN45" s="13">
        <v>4</v>
      </c>
      <c r="BO45" s="13">
        <v>4</v>
      </c>
      <c r="BP45" s="9"/>
      <c r="BQ45" s="9"/>
      <c r="BR45" s="9"/>
      <c r="BS45" s="9"/>
      <c r="BT45" s="9"/>
    </row>
    <row r="46" spans="1:72" x14ac:dyDescent="0.2">
      <c r="A46" t="str">
        <v>Santa,</v>
      </c>
      <c r="B46" t="str">
        <v>santa</v>
      </c>
      <c r="C46" t="str">
        <v>dreaming</v>
      </c>
      <c r="D46" t="str">
        <v>memories</v>
      </c>
      <c r="E46" s="5">
        <v>0</v>
      </c>
      <c r="F46" s="6">
        <v>0</v>
      </c>
      <c r="G46" s="6">
        <v>2</v>
      </c>
      <c r="H46" s="6">
        <v>0</v>
      </c>
      <c r="I46" s="7">
        <v>0</v>
      </c>
      <c r="R46" s="18">
        <v>0</v>
      </c>
      <c r="S46" s="18">
        <v>0</v>
      </c>
      <c r="T46" s="18">
        <v>0</v>
      </c>
      <c r="U46" s="18">
        <v>1</v>
      </c>
      <c r="V46" s="18">
        <v>1</v>
      </c>
      <c r="W46" s="18">
        <v>1</v>
      </c>
      <c r="X46" s="19">
        <v>-1</v>
      </c>
      <c r="AA46" s="13">
        <v>1</v>
      </c>
      <c r="AB46" s="13">
        <v>-1</v>
      </c>
      <c r="AC46" s="13">
        <v>6</v>
      </c>
      <c r="AD46" s="9"/>
      <c r="AE46" s="9"/>
      <c r="AF46" s="9"/>
      <c r="AG46" s="9"/>
      <c r="AH46" s="9"/>
      <c r="AJ46" s="13">
        <v>3</v>
      </c>
      <c r="AK46" s="13">
        <v>1</v>
      </c>
      <c r="AL46" s="13">
        <v>3</v>
      </c>
      <c r="AM46" s="9"/>
      <c r="AN46" s="9"/>
      <c r="AO46" s="9"/>
      <c r="AP46" s="9"/>
      <c r="AQ46" s="9"/>
      <c r="AS46" s="13">
        <v>3</v>
      </c>
      <c r="AT46" s="13">
        <v>3</v>
      </c>
      <c r="AU46" s="13">
        <v>1</v>
      </c>
      <c r="AV46" s="9"/>
      <c r="AW46" s="9"/>
      <c r="AX46" s="9"/>
      <c r="AY46" s="9"/>
      <c r="AZ46" s="9"/>
      <c r="BA46" s="9"/>
      <c r="BB46" s="13">
        <v>3</v>
      </c>
      <c r="BC46" s="13">
        <v>7</v>
      </c>
      <c r="BD46" s="13">
        <v>1</v>
      </c>
      <c r="BE46" s="9"/>
      <c r="BF46" s="9"/>
      <c r="BG46" s="9"/>
      <c r="BH46" s="9"/>
      <c r="BI46" s="9"/>
      <c r="BJ46" s="9"/>
      <c r="BK46" s="9"/>
      <c r="BM46" s="13">
        <v>3</v>
      </c>
      <c r="BN46" s="13">
        <v>1</v>
      </c>
      <c r="BO46" s="13">
        <v>6</v>
      </c>
      <c r="BP46" s="9"/>
      <c r="BQ46" s="9"/>
      <c r="BR46" s="9"/>
      <c r="BS46" s="9"/>
      <c r="BT46" s="9"/>
    </row>
    <row r="47" spans="1:72" x14ac:dyDescent="0.2">
      <c r="A47" t="str">
        <v>dreaming</v>
      </c>
      <c r="B47" t="str">
        <v>dreaming</v>
      </c>
      <c r="C47" t="str">
        <v>of</v>
      </c>
      <c r="D47" t="str">
        <v>of</v>
      </c>
      <c r="E47" s="5">
        <v>0</v>
      </c>
      <c r="F47" s="6">
        <v>0</v>
      </c>
      <c r="G47" s="6">
        <v>2</v>
      </c>
      <c r="H47" s="6">
        <v>0</v>
      </c>
      <c r="I47" s="7">
        <v>0</v>
      </c>
      <c r="R47" s="18">
        <v>0</v>
      </c>
      <c r="S47" s="18">
        <v>1</v>
      </c>
      <c r="T47" s="18">
        <v>1</v>
      </c>
      <c r="U47" s="18">
        <v>0</v>
      </c>
      <c r="V47" s="18">
        <v>0</v>
      </c>
      <c r="W47" s="18">
        <v>1</v>
      </c>
      <c r="X47" s="19">
        <v>-1</v>
      </c>
      <c r="AA47" s="13">
        <v>6</v>
      </c>
      <c r="AB47" s="13">
        <v>2</v>
      </c>
      <c r="AC47" s="13">
        <v>5</v>
      </c>
      <c r="AD47" s="9"/>
      <c r="AE47" s="9"/>
      <c r="AF47" s="9"/>
      <c r="AG47" s="9"/>
      <c r="AH47" s="9"/>
      <c r="AJ47" s="13">
        <v>6</v>
      </c>
      <c r="AK47" s="13">
        <v>6</v>
      </c>
      <c r="AL47" s="13">
        <v>6</v>
      </c>
      <c r="AM47" s="9"/>
      <c r="AN47" s="9"/>
      <c r="AO47" s="9"/>
      <c r="AP47" s="9"/>
      <c r="AQ47" s="9"/>
      <c r="AS47" s="13">
        <v>6</v>
      </c>
      <c r="AT47" s="13">
        <v>7</v>
      </c>
      <c r="AU47" s="13">
        <v>8</v>
      </c>
      <c r="AV47" s="9"/>
      <c r="AW47" s="9"/>
      <c r="AX47" s="9"/>
      <c r="AY47" s="9"/>
      <c r="AZ47" s="9"/>
      <c r="BA47" s="9"/>
      <c r="BB47" s="13">
        <v>7</v>
      </c>
      <c r="BC47" s="13">
        <v>6</v>
      </c>
      <c r="BD47" s="13">
        <v>6</v>
      </c>
      <c r="BE47" s="9"/>
      <c r="BF47" s="9"/>
      <c r="BG47" s="9"/>
      <c r="BH47" s="9"/>
      <c r="BI47" s="9"/>
      <c r="BJ47" s="9"/>
      <c r="BK47" s="9"/>
      <c r="BM47" s="13">
        <v>7</v>
      </c>
      <c r="BN47" s="13">
        <v>6</v>
      </c>
      <c r="BO47" s="13">
        <v>5</v>
      </c>
      <c r="BP47" s="9"/>
      <c r="BQ47" s="9"/>
      <c r="BR47" s="9"/>
      <c r="BS47" s="9"/>
      <c r="BT47" s="9"/>
    </row>
    <row r="48" spans="1:72" x14ac:dyDescent="0.2">
      <c r="A48" t="str">
        <v>of</v>
      </c>
      <c r="B48" t="str">
        <v>of</v>
      </c>
      <c r="C48" t="str">
        <v>surprises</v>
      </c>
      <c r="D48" t="str">
        <v>poured</v>
      </c>
      <c r="E48" s="5">
        <v>0</v>
      </c>
      <c r="F48" s="6">
        <v>0</v>
      </c>
      <c r="G48" s="6">
        <v>2</v>
      </c>
      <c r="H48" s="6">
        <v>0</v>
      </c>
      <c r="I48" s="7">
        <v>0</v>
      </c>
      <c r="R48" s="18">
        <v>1</v>
      </c>
      <c r="S48" s="18">
        <v>0</v>
      </c>
      <c r="T48" s="18">
        <v>0</v>
      </c>
      <c r="U48" s="18">
        <v>0</v>
      </c>
      <c r="V48" s="18">
        <v>1</v>
      </c>
      <c r="W48" s="18">
        <v>0</v>
      </c>
      <c r="X48" s="19">
        <v>0</v>
      </c>
      <c r="AA48" s="13">
        <v>-2</v>
      </c>
      <c r="AB48" s="13">
        <v>2</v>
      </c>
      <c r="AC48" s="13">
        <v>3</v>
      </c>
      <c r="AD48" s="9"/>
      <c r="AE48" s="9"/>
      <c r="AF48" s="9"/>
      <c r="AG48" s="9"/>
      <c r="AH48" s="9"/>
      <c r="AJ48" s="13">
        <v>0</v>
      </c>
      <c r="AK48" s="13">
        <v>-2</v>
      </c>
      <c r="AL48" s="13">
        <v>0</v>
      </c>
      <c r="AM48" s="9"/>
      <c r="AN48" s="9"/>
      <c r="AO48" s="9"/>
      <c r="AP48" s="9"/>
      <c r="AQ48" s="9"/>
      <c r="AS48" s="13">
        <v>0</v>
      </c>
      <c r="AT48" s="13">
        <v>-1</v>
      </c>
      <c r="AU48" s="13">
        <v>0</v>
      </c>
      <c r="AV48" s="9"/>
      <c r="AW48" s="9"/>
      <c r="AX48" s="9"/>
      <c r="AY48" s="9"/>
      <c r="AZ48" s="9"/>
      <c r="BA48" s="9"/>
      <c r="BB48" s="13">
        <v>-1</v>
      </c>
      <c r="BC48" s="13">
        <v>2</v>
      </c>
      <c r="BD48" s="13">
        <v>-2</v>
      </c>
      <c r="BE48" s="9"/>
      <c r="BF48" s="9"/>
      <c r="BG48" s="9"/>
      <c r="BH48" s="9"/>
      <c r="BI48" s="9"/>
      <c r="BJ48" s="9"/>
      <c r="BK48" s="9"/>
      <c r="BM48" s="13">
        <v>-1</v>
      </c>
      <c r="BN48" s="13">
        <v>-2</v>
      </c>
      <c r="BO48" s="13">
        <v>3</v>
      </c>
      <c r="BP48" s="9"/>
      <c r="BQ48" s="9"/>
      <c r="BR48" s="9"/>
      <c r="BS48" s="9"/>
      <c r="BT48" s="9"/>
    </row>
    <row r="49" spans="1:72" x14ac:dyDescent="0.2">
      <c r="A49" t="str">
        <v>surprises</v>
      </c>
      <c r="B49" t="str">
        <v>surprises</v>
      </c>
      <c r="C49" t="str">
        <v>beneath</v>
      </c>
      <c r="D49" t="str">
        <v>santa</v>
      </c>
      <c r="E49" s="5">
        <v>0</v>
      </c>
      <c r="F49" s="6">
        <v>0</v>
      </c>
      <c r="G49" s="6">
        <v>2</v>
      </c>
      <c r="H49" s="6">
        <v>0</v>
      </c>
      <c r="I49" s="7">
        <v>2</v>
      </c>
      <c r="R49" s="18">
        <v>0</v>
      </c>
      <c r="S49" s="18">
        <v>1</v>
      </c>
      <c r="T49" s="18">
        <v>0</v>
      </c>
      <c r="U49" s="18">
        <v>1</v>
      </c>
      <c r="V49" s="18">
        <v>0</v>
      </c>
      <c r="W49" s="18">
        <v>0</v>
      </c>
      <c r="X49" s="19">
        <v>-1</v>
      </c>
      <c r="AA49" s="13">
        <v>2</v>
      </c>
      <c r="AB49" s="13">
        <v>0</v>
      </c>
      <c r="AC49" s="13">
        <v>4</v>
      </c>
      <c r="AD49" s="9"/>
      <c r="AE49" s="9"/>
      <c r="AF49" s="9"/>
      <c r="AG49" s="9"/>
      <c r="AH49" s="9"/>
      <c r="AJ49" s="13">
        <v>0</v>
      </c>
      <c r="AK49" s="13">
        <v>2</v>
      </c>
      <c r="AL49" s="13">
        <v>0</v>
      </c>
      <c r="AM49" s="9"/>
      <c r="AN49" s="9"/>
      <c r="AO49" s="9"/>
      <c r="AP49" s="9"/>
      <c r="AQ49" s="9"/>
      <c r="AS49" s="13">
        <v>0</v>
      </c>
      <c r="AT49" s="13">
        <v>1</v>
      </c>
      <c r="AU49" s="13">
        <v>0</v>
      </c>
      <c r="AV49" s="9"/>
      <c r="AW49" s="9"/>
      <c r="AX49" s="9"/>
      <c r="AY49" s="9"/>
      <c r="AZ49" s="9"/>
      <c r="BA49" s="9"/>
      <c r="BB49" s="13">
        <v>1</v>
      </c>
      <c r="BC49" s="13">
        <v>4</v>
      </c>
      <c r="BD49" s="13">
        <v>2</v>
      </c>
      <c r="BE49" s="9"/>
      <c r="BF49" s="9"/>
      <c r="BG49" s="9"/>
      <c r="BH49" s="9"/>
      <c r="BI49" s="9"/>
      <c r="BJ49" s="9"/>
      <c r="BK49" s="9"/>
      <c r="BM49" s="13">
        <v>1</v>
      </c>
      <c r="BN49" s="13">
        <v>2</v>
      </c>
      <c r="BO49" s="13">
        <v>4</v>
      </c>
      <c r="BP49" s="9"/>
      <c r="BQ49" s="9"/>
      <c r="BR49" s="9"/>
      <c r="BS49" s="9"/>
      <c r="BT49" s="9"/>
    </row>
    <row r="50" spans="1:72" x14ac:dyDescent="0.2">
      <c r="A50" t="str">
        <v>beneath</v>
      </c>
      <c r="B50" t="str">
        <v>beneath</v>
      </c>
      <c r="C50" t="str">
        <v>decorated</v>
      </c>
      <c r="D50" t="str">
        <v>shared</v>
      </c>
      <c r="E50" s="5">
        <v>0</v>
      </c>
      <c r="F50" s="6">
        <v>0</v>
      </c>
      <c r="G50" s="6">
        <v>2</v>
      </c>
      <c r="H50" s="6">
        <v>0</v>
      </c>
      <c r="I50" s="7">
        <v>2</v>
      </c>
      <c r="R50" s="18">
        <v>0</v>
      </c>
      <c r="S50" s="18">
        <v>0</v>
      </c>
      <c r="T50" s="18">
        <v>1</v>
      </c>
      <c r="U50" s="18">
        <v>0</v>
      </c>
      <c r="V50" s="18">
        <v>0</v>
      </c>
      <c r="W50" s="18">
        <v>0</v>
      </c>
      <c r="X50" s="19">
        <v>0</v>
      </c>
      <c r="AA50" s="14">
        <v>3</v>
      </c>
      <c r="AB50" s="14">
        <v>3</v>
      </c>
      <c r="AC50" s="14">
        <v>1</v>
      </c>
      <c r="AD50" s="9"/>
      <c r="AE50" s="9"/>
      <c r="AF50" s="9"/>
      <c r="AG50" s="9"/>
      <c r="AH50" s="9"/>
      <c r="AJ50" s="14">
        <v>5</v>
      </c>
      <c r="AK50" s="14">
        <v>3</v>
      </c>
      <c r="AL50" s="14">
        <v>5</v>
      </c>
      <c r="AM50" s="9"/>
      <c r="AN50" s="9"/>
      <c r="AO50" s="9"/>
      <c r="AP50" s="9"/>
      <c r="AQ50" s="9"/>
      <c r="AS50" s="14">
        <v>5</v>
      </c>
      <c r="AT50" s="14">
        <v>5</v>
      </c>
      <c r="AU50" s="14">
        <v>5</v>
      </c>
      <c r="AV50" s="9"/>
      <c r="AW50" s="9"/>
      <c r="AX50" s="9"/>
      <c r="AY50" s="9"/>
      <c r="AZ50" s="9"/>
      <c r="BA50" s="9"/>
      <c r="BB50" s="14">
        <v>5</v>
      </c>
      <c r="BC50" s="14">
        <v>1</v>
      </c>
      <c r="BD50" s="14">
        <v>3</v>
      </c>
      <c r="BE50" s="9"/>
      <c r="BF50" s="9"/>
      <c r="BG50" s="9"/>
      <c r="BH50" s="9"/>
      <c r="BI50" s="9"/>
      <c r="BJ50" s="9"/>
      <c r="BK50" s="9"/>
      <c r="BM50" s="14">
        <v>5</v>
      </c>
      <c r="BN50" s="14">
        <v>3</v>
      </c>
      <c r="BO50" s="14">
        <v>1</v>
      </c>
      <c r="BP50" s="9"/>
      <c r="BQ50" s="9"/>
      <c r="BR50" s="9"/>
      <c r="BS50" s="9"/>
      <c r="BT50" s="9"/>
    </row>
    <row r="51" spans="1:72" x14ac:dyDescent="0.2">
      <c r="A51" t="str">
        <v>decorated</v>
      </c>
      <c r="B51" t="str">
        <v>decorated</v>
      </c>
      <c r="C51" t="str">
        <v>cookies</v>
      </c>
      <c r="D51" t="str">
        <v>sharing</v>
      </c>
      <c r="E51" s="5">
        <v>0</v>
      </c>
      <c r="F51" s="6">
        <v>0</v>
      </c>
      <c r="G51" s="6">
        <v>0</v>
      </c>
      <c r="H51" s="6">
        <v>0</v>
      </c>
      <c r="I51" s="7">
        <v>2</v>
      </c>
      <c r="AA51" s="9"/>
      <c r="AB51" s="9"/>
      <c r="AC51" s="9"/>
      <c r="AD51" s="9"/>
      <c r="AE51" s="9"/>
      <c r="AF51" s="9"/>
      <c r="AG51" s="9"/>
      <c r="AH51" s="9"/>
      <c r="AJ51" s="9"/>
      <c r="AK51" s="9"/>
      <c r="AL51" s="9"/>
      <c r="AM51" s="9"/>
      <c r="AN51" s="9"/>
      <c r="AO51" s="9"/>
      <c r="AP51" s="9"/>
      <c r="AQ51" s="9"/>
      <c r="AS51" s="9"/>
      <c r="AT51" s="9"/>
      <c r="AU51" s="9"/>
      <c r="AV51" s="9"/>
      <c r="AW51" s="9"/>
      <c r="AX51" s="9"/>
      <c r="AY51" s="9"/>
      <c r="AZ51" s="9"/>
      <c r="BA51" s="9"/>
      <c r="BB51" s="9"/>
      <c r="BC51" s="9"/>
      <c r="BD51" s="9"/>
      <c r="BE51" s="9"/>
      <c r="BF51" s="9"/>
      <c r="BG51" s="9"/>
      <c r="BH51" s="9"/>
      <c r="BI51" s="9"/>
      <c r="BJ51" s="9"/>
      <c r="BK51" s="9"/>
      <c r="BM51" s="9"/>
      <c r="BN51" s="9"/>
      <c r="BO51" s="9"/>
      <c r="BP51" s="9"/>
      <c r="BQ51" s="9"/>
      <c r="BR51" s="9"/>
      <c r="BS51" s="9"/>
      <c r="BT51" s="9"/>
    </row>
    <row r="52" spans="1:72" x14ac:dyDescent="0.2">
      <c r="A52" t="str">
        <v>trees.</v>
      </c>
      <c r="B52" t="str">
        <v>trees</v>
      </c>
      <c r="C52" t="str">
        <v>baked</v>
      </c>
      <c r="D52" t="str">
        <v>shines</v>
      </c>
      <c r="E52" s="5">
        <v>0</v>
      </c>
      <c r="F52" s="6">
        <v>0</v>
      </c>
      <c r="G52" s="6">
        <v>0</v>
      </c>
      <c r="H52" s="6">
        <v>0</v>
      </c>
      <c r="I52" s="7">
        <v>2</v>
      </c>
      <c r="X52" t="s">
        <v>11</v>
      </c>
      <c r="AA52" s="15" cm="1">
        <f t="array" ref="AA52:AH54">TRANSPOSE(_xlfn.ANCHORARRAY(AA43))</f>
        <v>5</v>
      </c>
      <c r="AB52" s="16">
        <v>2</v>
      </c>
      <c r="AC52" s="16">
        <v>4</v>
      </c>
      <c r="AD52" s="16">
        <v>1</v>
      </c>
      <c r="AE52" s="16">
        <v>6</v>
      </c>
      <c r="AF52" s="16">
        <v>-2</v>
      </c>
      <c r="AG52" s="16">
        <v>2</v>
      </c>
      <c r="AH52" s="17">
        <v>3</v>
      </c>
      <c r="AJ52" s="15" cm="1">
        <f t="array" ref="AJ52:AQ54">TRANSPOSE(_xlfn.ANCHORARRAY(AJ43))</f>
        <v>3</v>
      </c>
      <c r="AK52" s="16">
        <v>-2</v>
      </c>
      <c r="AL52" s="16">
        <v>4</v>
      </c>
      <c r="AM52" s="16">
        <v>3</v>
      </c>
      <c r="AN52" s="16">
        <v>6</v>
      </c>
      <c r="AO52" s="16">
        <v>0</v>
      </c>
      <c r="AP52" s="16">
        <v>0</v>
      </c>
      <c r="AQ52" s="17">
        <v>5</v>
      </c>
      <c r="AS52" s="15" cm="1">
        <f t="array" ref="AS52:AZ54">TRANSPOSE(_xlfn.ANCHORARRAY(AS43))</f>
        <v>3</v>
      </c>
      <c r="AT52" s="16">
        <v>-2</v>
      </c>
      <c r="AU52" s="16">
        <v>4</v>
      </c>
      <c r="AV52" s="16">
        <v>3</v>
      </c>
      <c r="AW52" s="16">
        <v>6</v>
      </c>
      <c r="AX52" s="16">
        <v>0</v>
      </c>
      <c r="AY52" s="16">
        <v>0</v>
      </c>
      <c r="AZ52" s="17">
        <v>5</v>
      </c>
      <c r="BA52" s="9"/>
      <c r="BB52" s="15" cm="1">
        <f t="array" ref="BB52:BI54">TRANSPOSE(_xlfn.ANCHORARRAY(BB43))</f>
        <v>4</v>
      </c>
      <c r="BC52" s="16">
        <v>-1</v>
      </c>
      <c r="BD52" s="16">
        <v>4</v>
      </c>
      <c r="BE52" s="16">
        <v>3</v>
      </c>
      <c r="BF52" s="16">
        <v>7</v>
      </c>
      <c r="BG52" s="16">
        <v>-1</v>
      </c>
      <c r="BH52" s="16">
        <v>1</v>
      </c>
      <c r="BI52" s="17">
        <v>5</v>
      </c>
      <c r="BJ52" s="9"/>
      <c r="BK52" s="9"/>
      <c r="BM52" s="15" cm="1">
        <f t="array" ref="BM52:BT54">TRANSPOSE(_xlfn.ANCHORARRAY(BM43))</f>
        <v>4</v>
      </c>
      <c r="BN52" s="16">
        <v>-1</v>
      </c>
      <c r="BO52" s="16">
        <v>4</v>
      </c>
      <c r="BP52" s="16">
        <v>3</v>
      </c>
      <c r="BQ52" s="16">
        <v>7</v>
      </c>
      <c r="BR52" s="16">
        <v>-1</v>
      </c>
      <c r="BS52" s="16">
        <v>1</v>
      </c>
      <c r="BT52" s="17">
        <v>5</v>
      </c>
    </row>
    <row r="53" spans="1:72" x14ac:dyDescent="0.2">
      <c r="A53" t="str">
        <v>Cookies</v>
      </c>
      <c r="B53" t="str">
        <v>cookies</v>
      </c>
      <c r="C53" t="str">
        <v>cocoa</v>
      </c>
      <c r="D53" t="str">
        <v>smiles</v>
      </c>
      <c r="E53" s="5">
        <v>0</v>
      </c>
      <c r="F53" s="6">
        <v>0</v>
      </c>
      <c r="G53" s="6">
        <v>0</v>
      </c>
      <c r="H53" s="6">
        <v>0</v>
      </c>
      <c r="I53" s="7">
        <v>2</v>
      </c>
      <c r="AA53" s="15">
        <v>3</v>
      </c>
      <c r="AB53" s="16">
        <v>0</v>
      </c>
      <c r="AC53" s="16">
        <v>4</v>
      </c>
      <c r="AD53" s="16">
        <v>-1</v>
      </c>
      <c r="AE53" s="16">
        <v>2</v>
      </c>
      <c r="AF53" s="16">
        <v>2</v>
      </c>
      <c r="AG53" s="16">
        <v>0</v>
      </c>
      <c r="AH53" s="17">
        <v>3</v>
      </c>
      <c r="AJ53" s="15">
        <v>5</v>
      </c>
      <c r="AK53" s="16">
        <v>2</v>
      </c>
      <c r="AL53" s="16">
        <v>4</v>
      </c>
      <c r="AM53" s="16">
        <v>1</v>
      </c>
      <c r="AN53" s="16">
        <v>6</v>
      </c>
      <c r="AO53" s="16">
        <v>-2</v>
      </c>
      <c r="AP53" s="16">
        <v>2</v>
      </c>
      <c r="AQ53" s="17">
        <v>3</v>
      </c>
      <c r="AS53" s="15">
        <v>4</v>
      </c>
      <c r="AT53" s="16">
        <v>-1</v>
      </c>
      <c r="AU53" s="16">
        <v>4</v>
      </c>
      <c r="AV53" s="16">
        <v>3</v>
      </c>
      <c r="AW53" s="16">
        <v>7</v>
      </c>
      <c r="AX53" s="16">
        <v>-1</v>
      </c>
      <c r="AY53" s="16">
        <v>1</v>
      </c>
      <c r="AZ53" s="17">
        <v>5</v>
      </c>
      <c r="BA53" s="9"/>
      <c r="BB53" s="15">
        <v>3</v>
      </c>
      <c r="BC53" s="16">
        <v>2</v>
      </c>
      <c r="BD53" s="16">
        <v>4</v>
      </c>
      <c r="BE53" s="16">
        <v>7</v>
      </c>
      <c r="BF53" s="16">
        <v>6</v>
      </c>
      <c r="BG53" s="16">
        <v>2</v>
      </c>
      <c r="BH53" s="16">
        <v>4</v>
      </c>
      <c r="BI53" s="17">
        <v>1</v>
      </c>
      <c r="BJ53" s="9"/>
      <c r="BK53" s="9"/>
      <c r="BM53" s="15">
        <v>5</v>
      </c>
      <c r="BN53" s="16">
        <v>2</v>
      </c>
      <c r="BO53" s="16">
        <v>4</v>
      </c>
      <c r="BP53" s="16">
        <v>1</v>
      </c>
      <c r="BQ53" s="16">
        <v>6</v>
      </c>
      <c r="BR53" s="16">
        <v>-2</v>
      </c>
      <c r="BS53" s="16">
        <v>2</v>
      </c>
      <c r="BT53" s="17">
        <v>3</v>
      </c>
    </row>
    <row r="54" spans="1:72" x14ac:dyDescent="0.2">
      <c r="A54" t="str">
        <v>baked,</v>
      </c>
      <c r="B54" t="str">
        <v>baked</v>
      </c>
      <c r="C54" t="str">
        <v>poured</v>
      </c>
      <c r="D54" t="str">
        <v>snow</v>
      </c>
      <c r="E54" s="5">
        <v>0</v>
      </c>
      <c r="F54" s="6">
        <v>0</v>
      </c>
      <c r="G54" s="6">
        <v>0</v>
      </c>
      <c r="H54" s="6">
        <v>0</v>
      </c>
      <c r="I54" s="7">
        <v>2</v>
      </c>
      <c r="AA54" s="15">
        <v>3</v>
      </c>
      <c r="AB54" s="16">
        <v>2</v>
      </c>
      <c r="AC54" s="16">
        <v>4</v>
      </c>
      <c r="AD54" s="16">
        <v>6</v>
      </c>
      <c r="AE54" s="16">
        <v>5</v>
      </c>
      <c r="AF54" s="16">
        <v>3</v>
      </c>
      <c r="AG54" s="16">
        <v>4</v>
      </c>
      <c r="AH54" s="17">
        <v>1</v>
      </c>
      <c r="AJ54" s="15">
        <v>3</v>
      </c>
      <c r="AK54" s="16">
        <v>-2</v>
      </c>
      <c r="AL54" s="16">
        <v>4</v>
      </c>
      <c r="AM54" s="16">
        <v>3</v>
      </c>
      <c r="AN54" s="16">
        <v>6</v>
      </c>
      <c r="AO54" s="16">
        <v>0</v>
      </c>
      <c r="AP54" s="16">
        <v>0</v>
      </c>
      <c r="AQ54" s="17">
        <v>5</v>
      </c>
      <c r="AS54" s="15">
        <v>7</v>
      </c>
      <c r="AT54" s="16">
        <v>2</v>
      </c>
      <c r="AU54" s="16">
        <v>8</v>
      </c>
      <c r="AV54" s="16">
        <v>1</v>
      </c>
      <c r="AW54" s="16">
        <v>8</v>
      </c>
      <c r="AX54" s="16">
        <v>0</v>
      </c>
      <c r="AY54" s="16">
        <v>0</v>
      </c>
      <c r="AZ54" s="17">
        <v>5</v>
      </c>
      <c r="BA54" s="9"/>
      <c r="BB54" s="15">
        <v>5</v>
      </c>
      <c r="BC54" s="16">
        <v>2</v>
      </c>
      <c r="BD54" s="16">
        <v>4</v>
      </c>
      <c r="BE54" s="16">
        <v>1</v>
      </c>
      <c r="BF54" s="16">
        <v>6</v>
      </c>
      <c r="BG54" s="16">
        <v>-2</v>
      </c>
      <c r="BH54" s="16">
        <v>2</v>
      </c>
      <c r="BI54" s="17">
        <v>3</v>
      </c>
      <c r="BJ54" s="9"/>
      <c r="BK54" s="9"/>
      <c r="BM54" s="15">
        <v>3</v>
      </c>
      <c r="BN54" s="16">
        <v>2</v>
      </c>
      <c r="BO54" s="16">
        <v>4</v>
      </c>
      <c r="BP54" s="16">
        <v>6</v>
      </c>
      <c r="BQ54" s="16">
        <v>5</v>
      </c>
      <c r="BR54" s="16">
        <v>3</v>
      </c>
      <c r="BS54" s="16">
        <v>4</v>
      </c>
      <c r="BT54" s="17">
        <v>1</v>
      </c>
    </row>
    <row r="55" spans="1:72" x14ac:dyDescent="0.2">
      <c r="A55" t="str">
        <v>cocoa</v>
      </c>
      <c r="B55" t="str">
        <v>cocoa</v>
      </c>
      <c r="C55" t="str">
        <v>traditions</v>
      </c>
      <c r="D55" t="str">
        <v>songs</v>
      </c>
      <c r="E55" s="5">
        <v>0</v>
      </c>
      <c r="F55" s="6">
        <v>2</v>
      </c>
      <c r="G55" s="6">
        <v>0</v>
      </c>
      <c r="H55" s="6">
        <v>0</v>
      </c>
      <c r="I55" s="7">
        <v>2</v>
      </c>
      <c r="U55" t="s">
        <v>14</v>
      </c>
      <c r="AA55" s="9"/>
      <c r="AB55" s="9"/>
      <c r="AC55" s="9"/>
      <c r="AD55" s="9"/>
      <c r="AE55" s="9"/>
      <c r="AF55" s="9"/>
      <c r="AG55" s="9"/>
      <c r="AH55" s="9"/>
      <c r="AJ55" s="9"/>
      <c r="AK55" s="9"/>
      <c r="AL55" s="9"/>
      <c r="AM55" s="9"/>
      <c r="AN55" s="9"/>
      <c r="AO55" s="9"/>
      <c r="AP55" s="9"/>
      <c r="AQ55" s="9"/>
      <c r="AS55" s="9"/>
      <c r="AT55" s="9"/>
      <c r="AU55" s="9"/>
      <c r="AV55" s="9"/>
      <c r="AW55" s="9"/>
      <c r="AX55" s="9"/>
      <c r="AY55" s="9"/>
      <c r="AZ55" s="9"/>
      <c r="BA55" s="9"/>
      <c r="BB55" s="9"/>
      <c r="BC55" s="9"/>
      <c r="BD55" s="9"/>
      <c r="BE55" s="9"/>
      <c r="BF55" s="9"/>
      <c r="BG55" s="9"/>
      <c r="BH55" s="9"/>
      <c r="BI55" s="9"/>
      <c r="BJ55" s="9"/>
      <c r="BK55" s="9"/>
      <c r="BM55" s="9"/>
      <c r="BN55" s="9"/>
      <c r="BO55" s="9"/>
      <c r="BP55" s="9"/>
      <c r="BQ55" s="9"/>
      <c r="BR55" s="9"/>
      <c r="BS55" s="9"/>
      <c r="BT55" s="9"/>
    </row>
    <row r="56" spans="1:72" x14ac:dyDescent="0.2">
      <c r="A56" t="str">
        <v>poured,</v>
      </c>
      <c r="B56" t="str">
        <v>poured</v>
      </c>
      <c r="C56" t="str">
        <v>kept</v>
      </c>
      <c r="D56" t="str">
        <v>sparkle</v>
      </c>
      <c r="E56" s="5">
        <v>0</v>
      </c>
      <c r="F56" s="6">
        <v>2</v>
      </c>
      <c r="G56" s="6">
        <v>0</v>
      </c>
      <c r="H56" s="6">
        <v>0</v>
      </c>
      <c r="I56" s="7">
        <v>2</v>
      </c>
      <c r="T56" t="s">
        <v>31</v>
      </c>
      <c r="U56" s="18">
        <v>3</v>
      </c>
      <c r="V56" s="18">
        <v>-1</v>
      </c>
      <c r="W56" s="18">
        <v>3</v>
      </c>
      <c r="X56" s="19">
        <v>-2</v>
      </c>
      <c r="AA56" s="15" cm="1">
        <f t="array" ref="AA56:AH56">MMULT($U56:$W56,_xlfn.ANCHORARRAY(AA52))+$X56</f>
        <v>19</v>
      </c>
      <c r="AB56" s="16">
        <v>10</v>
      </c>
      <c r="AC56" s="16">
        <v>18</v>
      </c>
      <c r="AD56" s="16">
        <v>20</v>
      </c>
      <c r="AE56" s="16">
        <v>29</v>
      </c>
      <c r="AF56" s="16">
        <v>-1</v>
      </c>
      <c r="AG56" s="16">
        <v>16</v>
      </c>
      <c r="AH56" s="17">
        <v>7</v>
      </c>
      <c r="AJ56" s="15" cm="1">
        <f t="array" ref="AJ56:AQ56">MMULT($U56:$W56,_xlfn.ANCHORARRAY(AJ52))+$X56</f>
        <v>11</v>
      </c>
      <c r="AK56" s="16">
        <v>-16</v>
      </c>
      <c r="AL56" s="16">
        <v>18</v>
      </c>
      <c r="AM56" s="16">
        <v>15</v>
      </c>
      <c r="AN56" s="16">
        <v>28</v>
      </c>
      <c r="AO56" s="16">
        <v>0</v>
      </c>
      <c r="AP56" s="16">
        <v>-4</v>
      </c>
      <c r="AQ56" s="17">
        <v>25</v>
      </c>
      <c r="AS56" s="15" cm="1">
        <f t="array" ref="AS56:AZ56">MMULT($U56:$W56,_xlfn.ANCHORARRAY(AS52))+$X56</f>
        <v>24</v>
      </c>
      <c r="AT56" s="16">
        <v>-1</v>
      </c>
      <c r="AU56" s="16">
        <v>30</v>
      </c>
      <c r="AV56" s="16">
        <v>7</v>
      </c>
      <c r="AW56" s="16">
        <v>33</v>
      </c>
      <c r="AX56" s="16">
        <v>-1</v>
      </c>
      <c r="AY56" s="16">
        <v>-3</v>
      </c>
      <c r="AZ56" s="17">
        <v>23</v>
      </c>
      <c r="BA56" s="9"/>
      <c r="BB56" s="15" cm="1">
        <f t="array" ref="BB56:BI56">MMULT($U56:$W56,_xlfn.ANCHORARRAY(BB52))+$X56</f>
        <v>22</v>
      </c>
      <c r="BC56" s="16">
        <v>-1</v>
      </c>
      <c r="BD56" s="16">
        <v>18</v>
      </c>
      <c r="BE56" s="16">
        <v>3</v>
      </c>
      <c r="BF56" s="16">
        <v>31</v>
      </c>
      <c r="BG56" s="16">
        <v>-13</v>
      </c>
      <c r="BH56" s="16">
        <v>3</v>
      </c>
      <c r="BI56" s="17">
        <v>21</v>
      </c>
      <c r="BJ56" s="9"/>
      <c r="BK56" s="9"/>
      <c r="BM56" s="15" cm="1">
        <f t="array" ref="BM56:BT56">MMULT($U56:$W56,_xlfn.ANCHORARRAY(BM52))+$X56</f>
        <v>14</v>
      </c>
      <c r="BN56" s="16">
        <v>-1</v>
      </c>
      <c r="BO56" s="16">
        <v>18</v>
      </c>
      <c r="BP56" s="16">
        <v>24</v>
      </c>
      <c r="BQ56" s="16">
        <v>28</v>
      </c>
      <c r="BR56" s="16">
        <v>6</v>
      </c>
      <c r="BS56" s="16">
        <v>11</v>
      </c>
      <c r="BT56" s="17">
        <v>13</v>
      </c>
    </row>
    <row r="57" spans="1:72" x14ac:dyDescent="0.2">
      <c r="A57" t="str">
        <v>traditions</v>
      </c>
      <c r="B57" t="str">
        <v>traditions</v>
      </c>
      <c r="C57" t="str">
        <v>smiles</v>
      </c>
      <c r="D57" t="str">
        <v>spirits</v>
      </c>
      <c r="E57" s="5">
        <v>0</v>
      </c>
      <c r="F57" s="6">
        <v>2</v>
      </c>
      <c r="G57" s="6">
        <v>0</v>
      </c>
      <c r="H57" s="6">
        <v>0</v>
      </c>
      <c r="I57" s="7">
        <v>0</v>
      </c>
      <c r="AA57" s="9"/>
      <c r="AB57" s="9"/>
      <c r="AC57" s="9"/>
      <c r="AD57" s="9"/>
      <c r="AE57" s="9"/>
      <c r="AF57" s="9"/>
      <c r="AG57" s="9"/>
      <c r="AH57" s="9"/>
      <c r="AJ57" s="9"/>
      <c r="AK57" s="9"/>
      <c r="AL57" s="9"/>
      <c r="AM57" s="9"/>
      <c r="AN57" s="9"/>
      <c r="AO57" s="9"/>
      <c r="AP57" s="9"/>
      <c r="AQ57" s="9"/>
      <c r="AS57" s="9"/>
      <c r="AT57" s="9"/>
      <c r="AU57" s="9"/>
      <c r="AV57" s="9"/>
      <c r="AW57" s="9"/>
      <c r="AX57" s="9"/>
      <c r="AY57" s="9"/>
      <c r="AZ57" s="9"/>
      <c r="BA57" s="9"/>
      <c r="BB57" s="9"/>
      <c r="BC57" s="9"/>
      <c r="BD57" s="9"/>
      <c r="BE57" s="9"/>
      <c r="BF57" s="9"/>
      <c r="BG57" s="9"/>
      <c r="BH57" s="9"/>
      <c r="BI57" s="9"/>
      <c r="BJ57" s="9"/>
      <c r="BK57" s="9"/>
      <c r="BM57" s="9"/>
      <c r="BN57" s="9"/>
      <c r="BO57" s="9"/>
      <c r="BP57" s="9"/>
      <c r="BQ57" s="9"/>
      <c r="BR57" s="9"/>
      <c r="BS57" s="9"/>
      <c r="BT57" s="9"/>
    </row>
    <row r="58" spans="1:72" x14ac:dyDescent="0.2">
      <c r="A58" t="str">
        <v>kept.</v>
      </c>
      <c r="B58" t="str">
        <v>kept</v>
      </c>
      <c r="C58" t="str">
        <v>hugs</v>
      </c>
      <c r="D58" t="str">
        <v>spreading</v>
      </c>
      <c r="E58" s="5">
        <v>0</v>
      </c>
      <c r="F58" s="6">
        <v>2</v>
      </c>
      <c r="G58" s="6">
        <v>0</v>
      </c>
      <c r="H58" s="6">
        <v>0</v>
      </c>
      <c r="I58" s="7">
        <v>0</v>
      </c>
      <c r="X58" t="s">
        <v>11</v>
      </c>
      <c r="AA58" s="12" cm="1">
        <f t="array" ref="AA58:AA65">TRANSPOSE(_xlfn.ANCHORARRAY(AA56))</f>
        <v>19</v>
      </c>
      <c r="AB58" s="9"/>
      <c r="AC58" s="9"/>
      <c r="AD58" s="9"/>
      <c r="AE58" s="9"/>
      <c r="AF58" s="9"/>
      <c r="AG58" s="9"/>
      <c r="AH58" s="9"/>
      <c r="AJ58" s="12" cm="1">
        <f t="array" ref="AJ58:AJ65">TRANSPOSE(_xlfn.ANCHORARRAY(AJ56))</f>
        <v>11</v>
      </c>
      <c r="AK58" s="9"/>
      <c r="AL58" s="9"/>
      <c r="AM58" s="9"/>
      <c r="AN58" s="9"/>
      <c r="AO58" s="9"/>
      <c r="AP58" s="9"/>
      <c r="AQ58" s="9"/>
      <c r="AS58" s="12" cm="1">
        <f t="array" ref="AS58:AS65">TRANSPOSE(_xlfn.ANCHORARRAY(AS56))</f>
        <v>24</v>
      </c>
      <c r="AT58" s="9"/>
      <c r="AU58" s="9"/>
      <c r="AV58" s="9"/>
      <c r="AW58" s="9"/>
      <c r="AX58" s="9"/>
      <c r="AY58" s="9"/>
      <c r="AZ58" s="9"/>
      <c r="BA58" s="9"/>
      <c r="BB58" s="12" cm="1">
        <f t="array" ref="BB58:BB65">TRANSPOSE(_xlfn.ANCHORARRAY(BB56))</f>
        <v>22</v>
      </c>
      <c r="BC58" s="9"/>
      <c r="BD58" s="9"/>
      <c r="BE58" s="9"/>
      <c r="BF58" s="9"/>
      <c r="BG58" s="9"/>
      <c r="BH58" s="9"/>
      <c r="BI58" s="9"/>
      <c r="BJ58" s="9"/>
      <c r="BK58" s="9"/>
      <c r="BM58" s="12" cm="1">
        <f t="array" ref="BM58:BM65">TRANSPOSE(_xlfn.ANCHORARRAY(BM56))</f>
        <v>14</v>
      </c>
      <c r="BN58" s="9"/>
      <c r="BO58" s="9"/>
      <c r="BP58" s="9"/>
      <c r="BQ58" s="9"/>
      <c r="BR58" s="9"/>
      <c r="BS58" s="9"/>
      <c r="BT58" s="9"/>
    </row>
    <row r="59" spans="1:72" x14ac:dyDescent="0.2">
      <c r="A59" t="str">
        <v>Smiles,</v>
      </c>
      <c r="B59" t="str">
        <v>smiles</v>
      </c>
      <c r="C59" t="str">
        <v>memories</v>
      </c>
      <c r="D59" t="str">
        <v>stories</v>
      </c>
      <c r="E59" s="5">
        <v>0</v>
      </c>
      <c r="F59" s="6">
        <v>2</v>
      </c>
      <c r="G59" s="6">
        <v>0</v>
      </c>
      <c r="H59" s="6">
        <v>0</v>
      </c>
      <c r="I59" s="7">
        <v>0</v>
      </c>
      <c r="AA59" s="13">
        <v>10</v>
      </c>
      <c r="AB59" s="9"/>
      <c r="AC59" s="9"/>
      <c r="AD59" s="9"/>
      <c r="AE59" s="9"/>
      <c r="AF59" s="9"/>
      <c r="AG59" s="9"/>
      <c r="AH59" s="9"/>
      <c r="AJ59" s="13">
        <v>-16</v>
      </c>
      <c r="AK59" s="9"/>
      <c r="AL59" s="9"/>
      <c r="AM59" s="9"/>
      <c r="AN59" s="9"/>
      <c r="AO59" s="9"/>
      <c r="AP59" s="9"/>
      <c r="AQ59" s="9"/>
      <c r="AS59" s="13">
        <v>-1</v>
      </c>
      <c r="AT59" s="9"/>
      <c r="AU59" s="9"/>
      <c r="AV59" s="9"/>
      <c r="AW59" s="9"/>
      <c r="AX59" s="9"/>
      <c r="AY59" s="9"/>
      <c r="AZ59" s="9"/>
      <c r="BA59" s="9"/>
      <c r="BB59" s="13">
        <v>-1</v>
      </c>
      <c r="BC59" s="9"/>
      <c r="BD59" s="9"/>
      <c r="BE59" s="9"/>
      <c r="BF59" s="9"/>
      <c r="BG59" s="9"/>
      <c r="BH59" s="9"/>
      <c r="BI59" s="9"/>
      <c r="BJ59" s="9"/>
      <c r="BK59" s="9"/>
      <c r="BM59" s="13">
        <v>-1</v>
      </c>
      <c r="BN59" s="9"/>
      <c r="BO59" s="9"/>
      <c r="BP59" s="9"/>
      <c r="BQ59" s="9"/>
      <c r="BR59" s="9"/>
      <c r="BS59" s="9"/>
      <c r="BT59" s="9"/>
    </row>
    <row r="60" spans="1:72" x14ac:dyDescent="0.2">
      <c r="A60" t="str">
        <v>hugs,</v>
      </c>
      <c r="B60" t="str">
        <v>hugs</v>
      </c>
      <c r="C60" t="str">
        <v>are</v>
      </c>
      <c r="D60" t="str">
        <v>streets</v>
      </c>
      <c r="E60" s="5">
        <v>0</v>
      </c>
      <c r="F60" s="6">
        <v>2</v>
      </c>
      <c r="G60" s="6">
        <v>0</v>
      </c>
      <c r="H60" s="6">
        <v>0</v>
      </c>
      <c r="I60" s="7">
        <v>0</v>
      </c>
      <c r="AA60" s="13">
        <v>18</v>
      </c>
      <c r="AB60" s="9"/>
      <c r="AC60" s="9"/>
      <c r="AD60" s="9"/>
      <c r="AE60" s="9"/>
      <c r="AF60" s="9"/>
      <c r="AG60" s="9"/>
      <c r="AH60" s="9"/>
      <c r="AJ60" s="13">
        <v>18</v>
      </c>
      <c r="AK60" s="9"/>
      <c r="AL60" s="9"/>
      <c r="AM60" s="9"/>
      <c r="AN60" s="9"/>
      <c r="AO60" s="9"/>
      <c r="AP60" s="9"/>
      <c r="AQ60" s="9"/>
      <c r="AS60" s="13">
        <v>30</v>
      </c>
      <c r="AT60" s="9"/>
      <c r="AU60" s="9"/>
      <c r="AV60" s="9"/>
      <c r="AW60" s="9"/>
      <c r="AX60" s="9"/>
      <c r="AY60" s="9"/>
      <c r="AZ60" s="9"/>
      <c r="BA60" s="9"/>
      <c r="BB60" s="13">
        <v>18</v>
      </c>
      <c r="BC60" s="9"/>
      <c r="BD60" s="9"/>
      <c r="BE60" s="9"/>
      <c r="BF60" s="9"/>
      <c r="BG60" s="9"/>
      <c r="BH60" s="9"/>
      <c r="BI60" s="9"/>
      <c r="BJ60" s="9"/>
      <c r="BK60" s="9"/>
      <c r="BM60" s="13">
        <v>18</v>
      </c>
      <c r="BN60" s="9"/>
      <c r="BO60" s="9"/>
      <c r="BP60" s="9"/>
      <c r="BQ60" s="9"/>
      <c r="BR60" s="9"/>
      <c r="BS60" s="9"/>
      <c r="BT60" s="9"/>
    </row>
    <row r="61" spans="1:72" x14ac:dyDescent="0.2">
      <c r="A61" t="str">
        <v>and</v>
      </c>
      <c r="B61" t="str">
        <v>and</v>
      </c>
      <c r="C61" t="str">
        <v>shared</v>
      </c>
      <c r="D61" t="str">
        <v>strong</v>
      </c>
      <c r="E61" s="5">
        <v>0</v>
      </c>
      <c r="F61" s="6">
        <v>2</v>
      </c>
      <c r="G61" s="6">
        <v>0</v>
      </c>
      <c r="H61" s="6">
        <v>0</v>
      </c>
      <c r="I61" s="7">
        <v>0</v>
      </c>
      <c r="AA61" s="13">
        <v>20</v>
      </c>
      <c r="AB61" s="9"/>
      <c r="AC61" s="9"/>
      <c r="AD61" s="9"/>
      <c r="AE61" s="9"/>
      <c r="AF61" s="9"/>
      <c r="AG61" s="9"/>
      <c r="AH61" s="9"/>
      <c r="AJ61" s="13">
        <v>15</v>
      </c>
      <c r="AK61" s="9"/>
      <c r="AL61" s="9"/>
      <c r="AM61" s="9"/>
      <c r="AN61" s="9"/>
      <c r="AO61" s="9"/>
      <c r="AP61" s="9"/>
      <c r="AQ61" s="9"/>
      <c r="AS61" s="13">
        <v>7</v>
      </c>
      <c r="AT61" s="9"/>
      <c r="AU61" s="9"/>
      <c r="AV61" s="9"/>
      <c r="AW61" s="9"/>
      <c r="AX61" s="9"/>
      <c r="AY61" s="9"/>
      <c r="AZ61" s="9"/>
      <c r="BA61" s="9"/>
      <c r="BB61" s="13">
        <v>3</v>
      </c>
      <c r="BC61" s="9"/>
      <c r="BD61" s="9"/>
      <c r="BE61" s="9"/>
      <c r="BF61" s="9"/>
      <c r="BG61" s="9"/>
      <c r="BH61" s="9"/>
      <c r="BI61" s="9"/>
      <c r="BJ61" s="9"/>
      <c r="BK61" s="9"/>
      <c r="BM61" s="13">
        <v>24</v>
      </c>
      <c r="BN61" s="9"/>
      <c r="BO61" s="9"/>
      <c r="BP61" s="9"/>
      <c r="BQ61" s="9"/>
      <c r="BR61" s="9"/>
      <c r="BS61" s="9"/>
      <c r="BT61" s="9"/>
    </row>
    <row r="62" spans="1:72" x14ac:dyDescent="0.2">
      <c r="A62" t="str">
        <v>memories</v>
      </c>
      <c r="B62" t="str">
        <v>memories</v>
      </c>
      <c r="C62" t="str">
        <v>creating</v>
      </c>
      <c r="D62" t="str">
        <v>surprises</v>
      </c>
      <c r="E62" s="5">
        <v>0</v>
      </c>
      <c r="F62" s="6">
        <v>2</v>
      </c>
      <c r="G62" s="6">
        <v>2</v>
      </c>
      <c r="H62" s="6">
        <v>0</v>
      </c>
      <c r="I62" s="7">
        <v>0</v>
      </c>
      <c r="AA62" s="13">
        <v>29</v>
      </c>
      <c r="AB62" s="9"/>
      <c r="AC62" s="9"/>
      <c r="AD62" s="9"/>
      <c r="AE62" s="9"/>
      <c r="AF62" s="9"/>
      <c r="AG62" s="9"/>
      <c r="AH62" s="9"/>
      <c r="AJ62" s="13">
        <v>28</v>
      </c>
      <c r="AK62" s="9"/>
      <c r="AL62" s="9"/>
      <c r="AM62" s="9"/>
      <c r="AN62" s="9"/>
      <c r="AO62" s="9"/>
      <c r="AP62" s="9"/>
      <c r="AQ62" s="9"/>
      <c r="AS62" s="13">
        <v>33</v>
      </c>
      <c r="AT62" s="9"/>
      <c r="AU62" s="9"/>
      <c r="AV62" s="9"/>
      <c r="AW62" s="9"/>
      <c r="AX62" s="9"/>
      <c r="AY62" s="9"/>
      <c r="AZ62" s="9"/>
      <c r="BA62" s="9"/>
      <c r="BB62" s="13">
        <v>31</v>
      </c>
      <c r="BC62" s="9"/>
      <c r="BD62" s="9"/>
      <c r="BE62" s="9"/>
      <c r="BF62" s="9"/>
      <c r="BG62" s="9"/>
      <c r="BH62" s="9"/>
      <c r="BI62" s="9"/>
      <c r="BJ62" s="9"/>
      <c r="BK62" s="9"/>
      <c r="BM62" s="13">
        <v>28</v>
      </c>
      <c r="BN62" s="9"/>
      <c r="BO62" s="9"/>
      <c r="BP62" s="9"/>
      <c r="BQ62" s="9"/>
      <c r="BR62" s="9"/>
      <c r="BS62" s="9"/>
      <c r="BT62" s="9"/>
    </row>
    <row r="63" spans="1:72" x14ac:dyDescent="0.2">
      <c r="A63" t="str">
        <v>are</v>
      </c>
      <c r="B63" t="str">
        <v>are</v>
      </c>
      <c r="C63" t="str">
        <v>bonds</v>
      </c>
      <c r="D63" t="str">
        <v>togetherness</v>
      </c>
      <c r="E63" s="5">
        <v>0</v>
      </c>
      <c r="F63" s="6">
        <v>0</v>
      </c>
      <c r="G63" s="6">
        <v>2</v>
      </c>
      <c r="H63" s="6">
        <v>0</v>
      </c>
      <c r="I63" s="7">
        <v>0</v>
      </c>
      <c r="AA63" s="13">
        <v>-1</v>
      </c>
      <c r="AB63" s="9"/>
      <c r="AC63" s="9"/>
      <c r="AD63" s="9"/>
      <c r="AE63" s="9"/>
      <c r="AF63" s="9"/>
      <c r="AG63" s="9"/>
      <c r="AH63" s="9"/>
      <c r="AJ63" s="13">
        <v>0</v>
      </c>
      <c r="AK63" s="9"/>
      <c r="AL63" s="9"/>
      <c r="AM63" s="9"/>
      <c r="AN63" s="9"/>
      <c r="AO63" s="9"/>
      <c r="AP63" s="9"/>
      <c r="AQ63" s="9"/>
      <c r="AS63" s="13">
        <v>-1</v>
      </c>
      <c r="AT63" s="9"/>
      <c r="AU63" s="9"/>
      <c r="AV63" s="9"/>
      <c r="AW63" s="9"/>
      <c r="AX63" s="9"/>
      <c r="AY63" s="9"/>
      <c r="AZ63" s="9"/>
      <c r="BA63" s="9"/>
      <c r="BB63" s="13">
        <v>-13</v>
      </c>
      <c r="BC63" s="9"/>
      <c r="BD63" s="9"/>
      <c r="BE63" s="9"/>
      <c r="BF63" s="9"/>
      <c r="BG63" s="9"/>
      <c r="BH63" s="9"/>
      <c r="BI63" s="9"/>
      <c r="BJ63" s="9"/>
      <c r="BK63" s="9"/>
      <c r="BM63" s="13">
        <v>6</v>
      </c>
      <c r="BN63" s="9"/>
      <c r="BO63" s="9"/>
      <c r="BP63" s="9"/>
      <c r="BQ63" s="9"/>
      <c r="BR63" s="9"/>
      <c r="BS63" s="9"/>
      <c r="BT63" s="9"/>
    </row>
    <row r="64" spans="1:72" x14ac:dyDescent="0.2">
      <c r="A64" t="str">
        <v>shared,</v>
      </c>
      <c r="B64" t="str">
        <v>shared</v>
      </c>
      <c r="C64" t="str">
        <v>strong</v>
      </c>
      <c r="D64" t="str">
        <v>towns</v>
      </c>
      <c r="E64" s="5">
        <v>0</v>
      </c>
      <c r="F64" s="6">
        <v>0</v>
      </c>
      <c r="G64" s="6">
        <v>2</v>
      </c>
      <c r="H64" s="6">
        <v>0</v>
      </c>
      <c r="I64" s="7">
        <v>0</v>
      </c>
      <c r="AA64" s="13">
        <v>16</v>
      </c>
      <c r="AB64" s="9"/>
      <c r="AC64" s="9"/>
      <c r="AD64" s="9"/>
      <c r="AE64" s="9"/>
      <c r="AF64" s="9"/>
      <c r="AG64" s="9"/>
      <c r="AH64" s="9"/>
      <c r="AJ64" s="13">
        <v>-4</v>
      </c>
      <c r="AK64" s="9"/>
      <c r="AL64" s="9"/>
      <c r="AM64" s="9"/>
      <c r="AN64" s="9"/>
      <c r="AO64" s="9"/>
      <c r="AP64" s="9"/>
      <c r="AQ64" s="9"/>
      <c r="AS64" s="13">
        <v>-3</v>
      </c>
      <c r="AT64" s="9"/>
      <c r="AU64" s="9"/>
      <c r="AV64" s="9"/>
      <c r="AW64" s="9"/>
      <c r="AX64" s="9"/>
      <c r="AY64" s="9"/>
      <c r="AZ64" s="9"/>
      <c r="BA64" s="9"/>
      <c r="BB64" s="13">
        <v>3</v>
      </c>
      <c r="BC64" s="9"/>
      <c r="BD64" s="9"/>
      <c r="BE64" s="9"/>
      <c r="BF64" s="9"/>
      <c r="BG64" s="9"/>
      <c r="BH64" s="9"/>
      <c r="BI64" s="9"/>
      <c r="BJ64" s="9"/>
      <c r="BK64" s="9"/>
      <c r="BM64" s="13">
        <v>11</v>
      </c>
      <c r="BN64" s="9"/>
      <c r="BO64" s="9"/>
      <c r="BP64" s="9"/>
      <c r="BQ64" s="9"/>
      <c r="BR64" s="9"/>
      <c r="BS64" s="9"/>
      <c r="BT64" s="9"/>
    </row>
    <row r="65" spans="1:72" x14ac:dyDescent="0.2">
      <c r="A65" t="str">
        <v>creating</v>
      </c>
      <c r="B65" t="str">
        <v>creating</v>
      </c>
      <c r="C65" t="str">
        <v>lasting</v>
      </c>
      <c r="D65" t="str">
        <v>traditions</v>
      </c>
      <c r="E65" s="5">
        <v>0</v>
      </c>
      <c r="F65" s="6">
        <v>0</v>
      </c>
      <c r="G65" s="6">
        <v>2</v>
      </c>
      <c r="H65" s="6">
        <v>0</v>
      </c>
      <c r="I65" s="7">
        <v>0</v>
      </c>
      <c r="AA65" s="14">
        <v>7</v>
      </c>
      <c r="AB65" s="9"/>
      <c r="AC65" s="9"/>
      <c r="AD65" s="9"/>
      <c r="AE65" s="9"/>
      <c r="AF65" s="9"/>
      <c r="AG65" s="9"/>
      <c r="AH65" s="9"/>
      <c r="AJ65" s="14">
        <v>25</v>
      </c>
      <c r="AK65" s="9"/>
      <c r="AL65" s="9"/>
      <c r="AM65" s="9"/>
      <c r="AN65" s="9"/>
      <c r="AO65" s="9"/>
      <c r="AP65" s="9"/>
      <c r="AQ65" s="9"/>
      <c r="AS65" s="14">
        <v>23</v>
      </c>
      <c r="AT65" s="9"/>
      <c r="AU65" s="9"/>
      <c r="AV65" s="9"/>
      <c r="AW65" s="9"/>
      <c r="AX65" s="9"/>
      <c r="AY65" s="9"/>
      <c r="AZ65" s="9"/>
      <c r="BA65" s="9"/>
      <c r="BB65" s="14">
        <v>21</v>
      </c>
      <c r="BC65" s="9"/>
      <c r="BD65" s="9"/>
      <c r="BE65" s="9"/>
      <c r="BF65" s="9"/>
      <c r="BG65" s="9"/>
      <c r="BH65" s="9"/>
      <c r="BI65" s="9"/>
      <c r="BJ65" s="9"/>
      <c r="BK65" s="9"/>
      <c r="BM65" s="14">
        <v>13</v>
      </c>
      <c r="BN65" s="9"/>
      <c r="BO65" s="9"/>
      <c r="BP65" s="9"/>
      <c r="BQ65" s="9"/>
      <c r="BR65" s="9"/>
      <c r="BS65" s="9"/>
      <c r="BT65" s="9"/>
    </row>
    <row r="66" spans="1:72" x14ac:dyDescent="0.2">
      <c r="A66" t="str">
        <v>bonds</v>
      </c>
      <c r="B66" t="str">
        <v>bonds</v>
      </c>
      <c r="C66" t="str">
        <v>togetherness</v>
      </c>
      <c r="D66" t="str">
        <v>transforming</v>
      </c>
      <c r="E66" s="5">
        <v>0</v>
      </c>
      <c r="F66" s="6">
        <v>0</v>
      </c>
      <c r="G66" s="6">
        <v>2</v>
      </c>
      <c r="H66" s="6">
        <v>0</v>
      </c>
      <c r="I66" s="7">
        <v>0</v>
      </c>
      <c r="AA66" s="9"/>
      <c r="AB66" s="9"/>
      <c r="AC66" s="9"/>
      <c r="AD66" s="9"/>
      <c r="AE66" s="9"/>
      <c r="AF66" s="9"/>
      <c r="AG66" s="9"/>
      <c r="AH66" s="9"/>
      <c r="AJ66" s="9"/>
      <c r="AK66" s="9"/>
      <c r="AL66" s="9"/>
      <c r="AM66" s="9"/>
      <c r="AN66" s="9"/>
      <c r="AO66" s="9"/>
      <c r="AP66" s="9"/>
      <c r="AQ66" s="9"/>
      <c r="AS66" s="9"/>
      <c r="AT66" s="9"/>
      <c r="AU66" s="9"/>
      <c r="AV66" s="9"/>
      <c r="AW66" s="9"/>
      <c r="AX66" s="9"/>
      <c r="AY66" s="9"/>
      <c r="AZ66" s="9"/>
      <c r="BA66" s="9"/>
      <c r="BB66" s="9"/>
      <c r="BC66" s="9"/>
      <c r="BD66" s="9"/>
      <c r="BE66" s="9"/>
      <c r="BF66" s="9"/>
      <c r="BG66" s="9"/>
      <c r="BH66" s="9"/>
      <c r="BI66" s="9"/>
      <c r="BJ66" s="9"/>
      <c r="BK66" s="9"/>
      <c r="BM66" s="9"/>
      <c r="BN66" s="9"/>
      <c r="BO66" s="9"/>
      <c r="BP66" s="9"/>
      <c r="BQ66" s="9"/>
      <c r="BR66" s="9"/>
      <c r="BS66" s="9"/>
      <c r="BT66" s="9"/>
    </row>
    <row r="67" spans="1:72" x14ac:dyDescent="0.2">
      <c r="A67" t="str">
        <v>strong</v>
      </c>
      <c r="B67" t="str">
        <v>strong</v>
      </c>
      <c r="C67" t="str">
        <v>shines</v>
      </c>
      <c r="D67" t="str">
        <v>trees</v>
      </c>
      <c r="E67" s="5">
        <v>0</v>
      </c>
      <c r="F67" s="6">
        <v>0</v>
      </c>
      <c r="G67" s="6">
        <v>2</v>
      </c>
      <c r="H67" s="6">
        <v>0</v>
      </c>
      <c r="I67" s="7">
        <v>0</v>
      </c>
      <c r="S67" s="1" t="s">
        <v>12</v>
      </c>
      <c r="X67" t="s">
        <v>10</v>
      </c>
      <c r="AA67" s="20" cm="1">
        <f t="array" ref="AA67:AA74">_xlfn.ANCHORARRAY(AA58)/SQRT(SUMSQ(_xlfn.ANCHORARRAY(AA58)))</f>
        <v>0.39344979911722655</v>
      </c>
      <c r="AB67" s="9"/>
      <c r="AC67" s="9"/>
      <c r="AD67" s="9"/>
      <c r="AE67" s="9"/>
      <c r="AF67" s="9"/>
      <c r="AG67" s="9"/>
      <c r="AH67" s="9"/>
      <c r="AJ67" s="20" cm="1">
        <f t="array" ref="AJ67:AJ74">_xlfn.ANCHORARRAY(AJ58)/SQRT(SUMSQ(_xlfn.ANCHORARRAY(AJ58)))</f>
        <v>0.22686441028737939</v>
      </c>
      <c r="AK67" s="9"/>
      <c r="AL67" s="9"/>
      <c r="AM67" s="9"/>
      <c r="AN67" s="9"/>
      <c r="AO67" s="9"/>
      <c r="AP67" s="9"/>
      <c r="AQ67" s="9"/>
      <c r="AS67" s="20" cm="1">
        <f t="array" ref="AS67:AS74">_xlfn.ANCHORARRAY(AS58)/SQRT(SUMSQ(_xlfn.ANCHORARRAY(AS58)))</f>
        <v>0.42734674187745758</v>
      </c>
      <c r="AT67" s="9"/>
      <c r="AU67" s="9"/>
      <c r="AV67" s="9"/>
      <c r="AW67" s="9"/>
      <c r="AX67" s="9"/>
      <c r="AY67" s="9"/>
      <c r="AZ67" s="9"/>
      <c r="BA67" s="9"/>
      <c r="BB67" s="20" cm="1">
        <f t="array" ref="BB67:BB74">_xlfn.ANCHORARRAY(BB58)/SQRT(SUMSQ(_xlfn.ANCHORARRAY(BB58)))</f>
        <v>0.44926035033744194</v>
      </c>
      <c r="BC67" s="9"/>
      <c r="BD67" s="9"/>
      <c r="BE67" s="9"/>
      <c r="BF67" s="9"/>
      <c r="BG67" s="9"/>
      <c r="BH67" s="9"/>
      <c r="BI67" s="9"/>
      <c r="BJ67" s="9"/>
      <c r="BK67" s="9"/>
      <c r="BM67" s="34" cm="1">
        <f t="array" ref="BM67:BM74">_xlfn.ANCHORARRAY(BM58)/SQRT(SUMSQ(_xlfn.ANCHORARRAY(BM58)))</f>
        <v>0.298007276940007</v>
      </c>
      <c r="BN67" s="9"/>
      <c r="BO67" s="9"/>
      <c r="BP67" s="9"/>
      <c r="BQ67" s="9"/>
      <c r="BR67" s="9"/>
      <c r="BS67" s="9"/>
      <c r="BT67" s="9"/>
    </row>
    <row r="68" spans="1:72" x14ac:dyDescent="0.2">
      <c r="A68" t="str">
        <v>and</v>
      </c>
      <c r="B68" t="str">
        <v>and</v>
      </c>
      <c r="C68" t="str">
        <v>brightly</v>
      </c>
      <c r="D68" t="str">
        <v>twinkle</v>
      </c>
      <c r="E68" s="5">
        <v>0</v>
      </c>
      <c r="F68" s="6">
        <v>0</v>
      </c>
      <c r="G68" s="6">
        <v>2</v>
      </c>
      <c r="H68" s="6">
        <v>0</v>
      </c>
      <c r="I68" s="7">
        <v>0</v>
      </c>
      <c r="AA68" s="21">
        <v>0.20707884164064555</v>
      </c>
      <c r="AB68" s="9"/>
      <c r="AC68" s="9"/>
      <c r="AD68" s="9"/>
      <c r="AE68" s="9"/>
      <c r="AF68" s="9"/>
      <c r="AG68" s="9"/>
      <c r="AH68" s="9"/>
      <c r="AJ68" s="21">
        <v>-0.32998459678164277</v>
      </c>
      <c r="AK68" s="9"/>
      <c r="AL68" s="9"/>
      <c r="AM68" s="9"/>
      <c r="AN68" s="9"/>
      <c r="AO68" s="9"/>
      <c r="AP68" s="9"/>
      <c r="AQ68" s="9"/>
      <c r="AS68" s="21">
        <v>-1.7806114244894065E-2</v>
      </c>
      <c r="AT68" s="9"/>
      <c r="AU68" s="9"/>
      <c r="AV68" s="9"/>
      <c r="AW68" s="9"/>
      <c r="AX68" s="9"/>
      <c r="AY68" s="9"/>
      <c r="AZ68" s="9"/>
      <c r="BA68" s="9"/>
      <c r="BB68" s="21">
        <v>-2.0420925015338272E-2</v>
      </c>
      <c r="BC68" s="9"/>
      <c r="BD68" s="9"/>
      <c r="BE68" s="9"/>
      <c r="BF68" s="9"/>
      <c r="BG68" s="9"/>
      <c r="BH68" s="9"/>
      <c r="BI68" s="9"/>
      <c r="BJ68" s="9"/>
      <c r="BK68" s="9"/>
      <c r="BM68" s="35">
        <v>-2.1286234067143354E-2</v>
      </c>
      <c r="BN68" s="9"/>
      <c r="BO68" s="9"/>
      <c r="BP68" s="9"/>
      <c r="BQ68" s="9"/>
      <c r="BR68" s="9"/>
      <c r="BS68" s="9"/>
      <c r="BT68" s="9"/>
    </row>
    <row r="69" spans="1:72" x14ac:dyDescent="0.2">
      <c r="A69" t="str">
        <v>lasting.</v>
      </c>
      <c r="B69" t="str">
        <v>lasting</v>
      </c>
      <c r="C69" t="str">
        <v>lifting</v>
      </c>
      <c r="D69" t="str">
        <v>warmth</v>
      </c>
      <c r="E69" s="5">
        <v>0</v>
      </c>
      <c r="F69" s="6">
        <v>0</v>
      </c>
      <c r="G69" s="6">
        <v>2</v>
      </c>
      <c r="H69" s="6">
        <v>0</v>
      </c>
      <c r="I69" s="7">
        <v>0</v>
      </c>
      <c r="AA69" s="21">
        <v>0.372741914953162</v>
      </c>
      <c r="AB69" s="9"/>
      <c r="AC69" s="9"/>
      <c r="AD69" s="9"/>
      <c r="AE69" s="9"/>
      <c r="AF69" s="9"/>
      <c r="AG69" s="9"/>
      <c r="AH69" s="9"/>
      <c r="AJ69" s="21">
        <v>0.37123267137934812</v>
      </c>
      <c r="AK69" s="9"/>
      <c r="AL69" s="9"/>
      <c r="AM69" s="9"/>
      <c r="AN69" s="9"/>
      <c r="AO69" s="9"/>
      <c r="AP69" s="9"/>
      <c r="AQ69" s="9"/>
      <c r="AS69" s="21">
        <v>0.534183427346822</v>
      </c>
      <c r="AT69" s="9"/>
      <c r="AU69" s="9"/>
      <c r="AV69" s="9"/>
      <c r="AW69" s="9"/>
      <c r="AX69" s="9"/>
      <c r="AY69" s="9"/>
      <c r="AZ69" s="9"/>
      <c r="BA69" s="9"/>
      <c r="BB69" s="21">
        <v>0.36757665027608888</v>
      </c>
      <c r="BC69" s="9"/>
      <c r="BD69" s="9"/>
      <c r="BE69" s="9"/>
      <c r="BF69" s="9"/>
      <c r="BG69" s="9"/>
      <c r="BH69" s="9"/>
      <c r="BI69" s="9"/>
      <c r="BJ69" s="9"/>
      <c r="BK69" s="9"/>
      <c r="BM69" s="35">
        <v>0.38315221320858039</v>
      </c>
      <c r="BN69" s="9"/>
      <c r="BO69" s="9"/>
      <c r="BP69" s="9"/>
      <c r="BQ69" s="9"/>
      <c r="BR69" s="9"/>
      <c r="BS69" s="9"/>
      <c r="BT69" s="9"/>
    </row>
    <row r="70" spans="1:72" x14ac:dyDescent="0.2">
      <c r="A70" t="str">
        <v>Togetherness</v>
      </c>
      <c r="B70" t="str">
        <v>togetherness</v>
      </c>
      <c r="C70" t="str">
        <v>spirits</v>
      </c>
      <c r="D70" t="str">
        <v>winter</v>
      </c>
      <c r="E70" s="5">
        <v>0</v>
      </c>
      <c r="F70" s="6">
        <v>0</v>
      </c>
      <c r="G70" s="6">
        <v>0</v>
      </c>
      <c r="H70" s="6">
        <v>2</v>
      </c>
      <c r="I70" s="7">
        <v>0</v>
      </c>
      <c r="AA70" s="21">
        <v>0.4141576832812911</v>
      </c>
      <c r="AB70" s="9"/>
      <c r="AC70" s="9"/>
      <c r="AD70" s="9"/>
      <c r="AE70" s="9"/>
      <c r="AF70" s="9"/>
      <c r="AG70" s="9"/>
      <c r="AH70" s="9"/>
      <c r="AJ70" s="21">
        <v>0.30936055948279007</v>
      </c>
      <c r="AK70" s="9"/>
      <c r="AL70" s="9"/>
      <c r="AM70" s="9"/>
      <c r="AN70" s="9"/>
      <c r="AO70" s="9"/>
      <c r="AP70" s="9"/>
      <c r="AQ70" s="9"/>
      <c r="AS70" s="21">
        <v>0.12464279971425847</v>
      </c>
      <c r="AT70" s="9"/>
      <c r="AU70" s="9"/>
      <c r="AV70" s="9"/>
      <c r="AW70" s="9"/>
      <c r="AX70" s="9"/>
      <c r="AY70" s="9"/>
      <c r="AZ70" s="9"/>
      <c r="BA70" s="9"/>
      <c r="BB70" s="21">
        <v>6.1262775046014808E-2</v>
      </c>
      <c r="BC70" s="9"/>
      <c r="BD70" s="9"/>
      <c r="BE70" s="9"/>
      <c r="BF70" s="9"/>
      <c r="BG70" s="9"/>
      <c r="BH70" s="9"/>
      <c r="BI70" s="9"/>
      <c r="BJ70" s="9"/>
      <c r="BK70" s="9"/>
      <c r="BM70" s="35">
        <v>0.51086961761144056</v>
      </c>
      <c r="BN70" s="9"/>
      <c r="BO70" s="9"/>
      <c r="BP70" s="9"/>
      <c r="BQ70" s="9"/>
      <c r="BR70" s="9"/>
      <c r="BS70" s="9"/>
      <c r="BT70" s="9"/>
    </row>
    <row r="71" spans="1:72" x14ac:dyDescent="0.2">
      <c r="A71" t="str">
        <v>shines</v>
      </c>
      <c r="B71" t="str">
        <v>shines</v>
      </c>
      <c r="C71" t="str">
        <v>high</v>
      </c>
      <c r="D71" t="str">
        <v>wonderlands</v>
      </c>
      <c r="E71" s="5">
        <v>0</v>
      </c>
      <c r="F71" s="6">
        <v>0</v>
      </c>
      <c r="G71" s="6">
        <v>0</v>
      </c>
      <c r="H71" s="6">
        <v>2</v>
      </c>
      <c r="I71" s="7">
        <v>0</v>
      </c>
      <c r="AA71" s="21">
        <v>0.60052864075787205</v>
      </c>
      <c r="AB71" s="9"/>
      <c r="AC71" s="9"/>
      <c r="AD71" s="9"/>
      <c r="AE71" s="9"/>
      <c r="AF71" s="9"/>
      <c r="AG71" s="9"/>
      <c r="AH71" s="9"/>
      <c r="AJ71" s="21">
        <v>0.57747304436787483</v>
      </c>
      <c r="AK71" s="9"/>
      <c r="AL71" s="9"/>
      <c r="AM71" s="9"/>
      <c r="AN71" s="9"/>
      <c r="AO71" s="9"/>
      <c r="AP71" s="9"/>
      <c r="AQ71" s="9"/>
      <c r="AS71" s="21">
        <v>0.58760177008150416</v>
      </c>
      <c r="AT71" s="9"/>
      <c r="AU71" s="9"/>
      <c r="AV71" s="9"/>
      <c r="AW71" s="9"/>
      <c r="AX71" s="9"/>
      <c r="AY71" s="9"/>
      <c r="AZ71" s="9"/>
      <c r="BA71" s="9"/>
      <c r="BB71" s="21">
        <v>0.63304867547548638</v>
      </c>
      <c r="BC71" s="9"/>
      <c r="BD71" s="9"/>
      <c r="BE71" s="9"/>
      <c r="BF71" s="9"/>
      <c r="BG71" s="9"/>
      <c r="BH71" s="9"/>
      <c r="BI71" s="9"/>
      <c r="BJ71" s="9"/>
      <c r="BK71" s="9"/>
      <c r="BM71" s="35">
        <v>0.59601455388001401</v>
      </c>
      <c r="BN71" s="9"/>
      <c r="BO71" s="9"/>
      <c r="BP71" s="9"/>
      <c r="BQ71" s="9"/>
      <c r="BR71" s="9"/>
      <c r="BS71" s="9"/>
      <c r="BT71" s="9"/>
    </row>
    <row r="72" spans="1:72" x14ac:dyDescent="0.2">
      <c r="A72" t="str">
        <v>brightly,</v>
      </c>
      <c r="B72" t="str">
        <v>brightly</v>
      </c>
      <c r="AA72" s="21">
        <v>-2.0707884164064553E-2</v>
      </c>
      <c r="AB72" s="9"/>
      <c r="AC72" s="9"/>
      <c r="AD72" s="9"/>
      <c r="AE72" s="9"/>
      <c r="AF72" s="9"/>
      <c r="AG72" s="9"/>
      <c r="AH72" s="9"/>
      <c r="AJ72" s="21">
        <v>0</v>
      </c>
      <c r="AK72" s="9"/>
      <c r="AL72" s="9"/>
      <c r="AM72" s="9"/>
      <c r="AN72" s="9"/>
      <c r="AO72" s="9"/>
      <c r="AP72" s="9"/>
      <c r="AQ72" s="9"/>
      <c r="AS72" s="21">
        <v>-1.7806114244894065E-2</v>
      </c>
      <c r="AT72" s="9"/>
      <c r="AU72" s="9"/>
      <c r="AV72" s="9"/>
      <c r="AW72" s="9"/>
      <c r="AX72" s="9"/>
      <c r="AY72" s="9"/>
      <c r="AZ72" s="9"/>
      <c r="BA72" s="9"/>
      <c r="BB72" s="21">
        <v>-0.2654720251993975</v>
      </c>
      <c r="BC72" s="9"/>
      <c r="BD72" s="9"/>
      <c r="BE72" s="9"/>
      <c r="BF72" s="9"/>
      <c r="BG72" s="9"/>
      <c r="BH72" s="9"/>
      <c r="BI72" s="9"/>
      <c r="BJ72" s="9"/>
      <c r="BK72" s="9"/>
      <c r="BM72" s="35">
        <v>0.12771740440286014</v>
      </c>
      <c r="BN72" s="9"/>
      <c r="BO72" s="9"/>
      <c r="BP72" s="9"/>
      <c r="BQ72" s="9"/>
      <c r="BR72" s="9"/>
      <c r="BS72" s="9"/>
      <c r="BT72" s="9"/>
    </row>
    <row r="73" spans="1:72" x14ac:dyDescent="0.2">
      <c r="A73" t="str">
        <v>lifting</v>
      </c>
      <c r="B73" t="str">
        <v>lifting</v>
      </c>
      <c r="AA73" s="21">
        <v>0.33132614662503285</v>
      </c>
      <c r="AB73" s="9"/>
      <c r="AC73" s="9"/>
      <c r="AD73" s="9"/>
      <c r="AE73" s="9"/>
      <c r="AF73" s="9"/>
      <c r="AG73" s="9"/>
      <c r="AH73" s="9"/>
      <c r="AJ73" s="21">
        <v>-8.2496149195410692E-2</v>
      </c>
      <c r="AK73" s="9"/>
      <c r="AL73" s="9"/>
      <c r="AM73" s="9"/>
      <c r="AN73" s="9"/>
      <c r="AO73" s="9"/>
      <c r="AP73" s="9"/>
      <c r="AQ73" s="9"/>
      <c r="AS73" s="21">
        <v>-5.3418342734682198E-2</v>
      </c>
      <c r="AT73" s="9"/>
      <c r="AU73" s="9"/>
      <c r="AV73" s="9"/>
      <c r="AW73" s="9"/>
      <c r="AX73" s="9"/>
      <c r="AY73" s="9"/>
      <c r="AZ73" s="9"/>
      <c r="BA73" s="9"/>
      <c r="BB73" s="21">
        <v>6.1262775046014808E-2</v>
      </c>
      <c r="BC73" s="9"/>
      <c r="BD73" s="9"/>
      <c r="BE73" s="9"/>
      <c r="BF73" s="9"/>
      <c r="BG73" s="9"/>
      <c r="BH73" s="9"/>
      <c r="BI73" s="9"/>
      <c r="BJ73" s="9"/>
      <c r="BK73" s="9"/>
      <c r="BM73" s="35">
        <v>0.23414857473857692</v>
      </c>
      <c r="BN73" s="9"/>
      <c r="BO73" s="9"/>
      <c r="BP73" s="9"/>
      <c r="BQ73" s="9"/>
      <c r="BR73" s="9"/>
      <c r="BS73" s="9"/>
      <c r="BT73" s="9"/>
    </row>
    <row r="74" spans="1:72" x14ac:dyDescent="0.2">
      <c r="A74" t="str">
        <v>spirits</v>
      </c>
      <c r="B74" t="str">
        <v>spirits</v>
      </c>
      <c r="AA74" s="22">
        <v>0.14495518914845187</v>
      </c>
      <c r="AB74" s="9"/>
      <c r="AC74" s="9"/>
      <c r="AD74" s="9"/>
      <c r="AE74" s="9"/>
      <c r="AF74" s="9"/>
      <c r="AG74" s="9"/>
      <c r="AH74" s="9"/>
      <c r="AJ74" s="22">
        <v>0.51560093247131678</v>
      </c>
      <c r="AK74" s="9"/>
      <c r="AL74" s="9"/>
      <c r="AM74" s="9"/>
      <c r="AN74" s="9"/>
      <c r="AO74" s="9"/>
      <c r="AP74" s="9"/>
      <c r="AQ74" s="9"/>
      <c r="AS74" s="22">
        <v>0.40954062763256355</v>
      </c>
      <c r="AT74" s="9"/>
      <c r="AU74" s="9"/>
      <c r="AV74" s="9"/>
      <c r="AW74" s="9"/>
      <c r="AX74" s="9"/>
      <c r="AY74" s="9"/>
      <c r="AZ74" s="9"/>
      <c r="BA74" s="9"/>
      <c r="BB74" s="22">
        <v>0.42883942532210367</v>
      </c>
      <c r="BC74" s="9"/>
      <c r="BD74" s="9"/>
      <c r="BE74" s="9"/>
      <c r="BF74" s="9"/>
      <c r="BG74" s="9"/>
      <c r="BH74" s="9"/>
      <c r="BI74" s="9"/>
      <c r="BJ74" s="9"/>
      <c r="BK74" s="9"/>
      <c r="BM74" s="36">
        <v>0.27672104287286364</v>
      </c>
      <c r="BN74" s="9"/>
      <c r="BO74" s="9"/>
      <c r="BP74" s="9"/>
      <c r="BQ74" s="9"/>
      <c r="BR74" s="9"/>
      <c r="BS74" s="9"/>
      <c r="BT74" s="9"/>
    </row>
    <row r="75" spans="1:72" x14ac:dyDescent="0.2">
      <c r="A75" t="str">
        <v>high.</v>
      </c>
      <c r="B75" t="str">
        <v>high</v>
      </c>
    </row>
    <row r="77" spans="1:72" x14ac:dyDescent="0.2">
      <c r="Y77" s="1" t="s">
        <v>22</v>
      </c>
      <c r="AA77" s="44">
        <f>AA6</f>
        <v>1</v>
      </c>
      <c r="AJ77" s="44">
        <f>AJ6</f>
        <v>2</v>
      </c>
      <c r="AS77" s="44">
        <f>AS6</f>
        <v>3</v>
      </c>
      <c r="BB77" s="44">
        <f>BB6</f>
        <v>4</v>
      </c>
    </row>
    <row r="78" spans="1:72" x14ac:dyDescent="0.2">
      <c r="Y78" s="1" t="s">
        <v>23</v>
      </c>
      <c r="AA78" s="45" t="str" cm="1">
        <f t="array" ref="AA78:AA80">TRANSPOSE(_xlfn.ANCHORARRAY(AA7))</f>
        <v>christmas</v>
      </c>
      <c r="AJ78" s="45" t="str" cm="1">
        <f t="array" ref="AJ78:AJ80">TRANSPOSE(_xlfn.ANCHORARRAY(AJ7))</f>
        <v>love</v>
      </c>
      <c r="AS78" s="45" t="str" cm="1">
        <f t="array" ref="AS78:AS80">TRANSPOSE(_xlfn.ANCHORARRAY(AS7))</f>
        <v>families</v>
      </c>
      <c r="BB78" s="45" t="str" cm="1">
        <f t="array" ref="BB78:BB80">TRANSPOSE(_xlfn.ANCHORARRAY(BB7))</f>
        <v>gifts</v>
      </c>
    </row>
    <row r="79" spans="1:72" x14ac:dyDescent="0.2">
      <c r="AA79" s="46" t="str">
        <v>brings</v>
      </c>
      <c r="AJ79" s="46" t="str">
        <v>and</v>
      </c>
      <c r="AS79" s="46" t="str">
        <v>gather</v>
      </c>
      <c r="BB79" s="46" t="str">
        <v>laughter</v>
      </c>
    </row>
    <row r="80" spans="1:72" x14ac:dyDescent="0.2">
      <c r="AA80" s="47" t="str">
        <v>joy</v>
      </c>
      <c r="AJ80" s="47" t="str">
        <v>warmth</v>
      </c>
      <c r="AS80" s="47" t="str">
        <v>sharing</v>
      </c>
      <c r="AZ80" s="1"/>
      <c r="BA80" s="1"/>
      <c r="BB80" s="47" t="str">
        <v>and</v>
      </c>
      <c r="BI80" s="1"/>
      <c r="BJ80" s="1"/>
      <c r="BK80" s="1"/>
    </row>
    <row r="81" spans="25:54" x14ac:dyDescent="0.2">
      <c r="Y81" s="1" t="s">
        <v>21</v>
      </c>
      <c r="AA81" s="48" cm="1">
        <f t="array" ref="AA81:AA88">_xlfn.ANCHORARRAY(AA67)</f>
        <v>0.39344979911722655</v>
      </c>
      <c r="AJ81" s="48" cm="1">
        <f t="array" ref="AJ81:AJ88">_xlfn.ANCHORARRAY(AJ67)</f>
        <v>0.22686441028737939</v>
      </c>
      <c r="AS81" s="48" cm="1">
        <f t="array" ref="AS81:AS88">_xlfn.ANCHORARRAY(AS67)</f>
        <v>0.42734674187745758</v>
      </c>
      <c r="BB81" s="48" cm="1">
        <f t="array" ref="BB81:BB88">_xlfn.ANCHORARRAY(BB67)</f>
        <v>0.44926035033744194</v>
      </c>
    </row>
    <row r="82" spans="25:54" x14ac:dyDescent="0.2">
      <c r="AA82" s="49">
        <v>0.20707884164064555</v>
      </c>
      <c r="AJ82" s="49">
        <v>-0.32998459678164277</v>
      </c>
      <c r="AS82" s="49">
        <v>-1.7806114244894065E-2</v>
      </c>
      <c r="BB82" s="49">
        <v>-2.0420925015338272E-2</v>
      </c>
    </row>
    <row r="83" spans="25:54" x14ac:dyDescent="0.2">
      <c r="AA83" s="49">
        <v>0.372741914953162</v>
      </c>
      <c r="AJ83" s="49">
        <v>0.37123267137934812</v>
      </c>
      <c r="AS83" s="49">
        <v>0.534183427346822</v>
      </c>
      <c r="BB83" s="49">
        <v>0.36757665027608888</v>
      </c>
    </row>
    <row r="84" spans="25:54" x14ac:dyDescent="0.2">
      <c r="AA84" s="49">
        <v>0.4141576832812911</v>
      </c>
      <c r="AJ84" s="49">
        <v>0.30936055948279007</v>
      </c>
      <c r="AS84" s="49">
        <v>0.12464279971425847</v>
      </c>
      <c r="BB84" s="49">
        <v>6.1262775046014808E-2</v>
      </c>
    </row>
    <row r="85" spans="25:54" x14ac:dyDescent="0.2">
      <c r="AA85" s="49">
        <v>0.60052864075787205</v>
      </c>
      <c r="AJ85" s="49">
        <v>0.57747304436787483</v>
      </c>
      <c r="AS85" s="49">
        <v>0.58760177008150416</v>
      </c>
      <c r="BB85" s="49">
        <v>0.63304867547548638</v>
      </c>
    </row>
    <row r="86" spans="25:54" x14ac:dyDescent="0.2">
      <c r="AA86" s="49">
        <v>-2.0707884164064553E-2</v>
      </c>
      <c r="AJ86" s="49">
        <v>0</v>
      </c>
      <c r="AS86" s="49">
        <v>-1.7806114244894065E-2</v>
      </c>
      <c r="BB86" s="49">
        <v>-0.2654720251993975</v>
      </c>
    </row>
    <row r="87" spans="25:54" x14ac:dyDescent="0.2">
      <c r="AA87" s="49">
        <v>0.33132614662503285</v>
      </c>
      <c r="AJ87" s="49">
        <v>-8.2496149195410692E-2</v>
      </c>
      <c r="AS87" s="49">
        <v>-5.3418342734682198E-2</v>
      </c>
      <c r="BB87" s="49">
        <v>6.1262775046014808E-2</v>
      </c>
    </row>
    <row r="88" spans="25:54" x14ac:dyDescent="0.2">
      <c r="AA88" s="50">
        <v>0.14495518914845187</v>
      </c>
      <c r="AJ88" s="50">
        <v>0.51560093247131678</v>
      </c>
      <c r="AS88" s="50">
        <v>0.40954062763256355</v>
      </c>
      <c r="BB88" s="50">
        <v>0.42883942532210367</v>
      </c>
    </row>
    <row r="126" spans="19:23" x14ac:dyDescent="0.2">
      <c r="S126" s="1"/>
      <c r="W126" s="1"/>
    </row>
  </sheetData>
  <mergeCells count="1">
    <mergeCell ref="A5:J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16C6-6039-C544-A988-75E2937A86C2}">
  <dimension ref="A1:A21"/>
  <sheetViews>
    <sheetView workbookViewId="0">
      <selection activeCell="A21" sqref="A21"/>
    </sheetView>
  </sheetViews>
  <sheetFormatPr baseColWidth="10" defaultRowHeight="16" x14ac:dyDescent="0.2"/>
  <cols>
    <col min="1" max="1" width="116.83203125" style="52" customWidth="1"/>
    <col min="2" max="16384" width="10.83203125" style="53"/>
  </cols>
  <sheetData>
    <row r="1" spans="1:1" ht="17" x14ac:dyDescent="0.2">
      <c r="A1" s="52" t="s">
        <v>35</v>
      </c>
    </row>
    <row r="3" spans="1:1" ht="17" x14ac:dyDescent="0.2">
      <c r="A3" s="52" t="s">
        <v>36</v>
      </c>
    </row>
    <row r="5" spans="1:1" ht="17" x14ac:dyDescent="0.2">
      <c r="A5" s="52" t="s">
        <v>37</v>
      </c>
    </row>
    <row r="6" spans="1:1" ht="17" x14ac:dyDescent="0.2">
      <c r="A6" s="52" t="s">
        <v>38</v>
      </c>
    </row>
    <row r="7" spans="1:1" ht="17" x14ac:dyDescent="0.2">
      <c r="A7" s="52" t="s">
        <v>39</v>
      </c>
    </row>
    <row r="8" spans="1:1" ht="17" x14ac:dyDescent="0.2">
      <c r="A8" s="52" t="s">
        <v>40</v>
      </c>
    </row>
    <row r="9" spans="1:1" ht="17" x14ac:dyDescent="0.2">
      <c r="A9" s="52" t="s">
        <v>41</v>
      </c>
    </row>
    <row r="10" spans="1:1" ht="17" x14ac:dyDescent="0.2">
      <c r="A10" s="52" t="s">
        <v>42</v>
      </c>
    </row>
    <row r="11" spans="1:1" x14ac:dyDescent="0.2">
      <c r="A11" s="54"/>
    </row>
    <row r="12" spans="1:1" ht="17" x14ac:dyDescent="0.2">
      <c r="A12" s="52" t="s">
        <v>43</v>
      </c>
    </row>
    <row r="13" spans="1:1" ht="17" x14ac:dyDescent="0.2">
      <c r="A13" s="52" t="s">
        <v>44</v>
      </c>
    </row>
    <row r="15" spans="1:1" ht="17" x14ac:dyDescent="0.2">
      <c r="A15" s="52" t="s">
        <v>45</v>
      </c>
    </row>
    <row r="16" spans="1:1" ht="17" x14ac:dyDescent="0.2">
      <c r="A16" s="52" t="s">
        <v>46</v>
      </c>
    </row>
    <row r="17" spans="1:1" ht="17" x14ac:dyDescent="0.2">
      <c r="A17" s="52" t="s">
        <v>47</v>
      </c>
    </row>
    <row r="18" spans="1:1" ht="17" x14ac:dyDescent="0.2">
      <c r="A18" s="52" t="s">
        <v>48</v>
      </c>
    </row>
    <row r="19" spans="1:1" ht="17" x14ac:dyDescent="0.2">
      <c r="A19" s="52" t="s">
        <v>49</v>
      </c>
    </row>
    <row r="20" spans="1:1" ht="17" x14ac:dyDescent="0.2">
      <c r="A20" s="52" t="s">
        <v>50</v>
      </c>
    </row>
    <row r="21" spans="1:1" ht="17" x14ac:dyDescent="0.2">
      <c r="A21" s="52" t="s">
        <v>51</v>
      </c>
    </row>
  </sheetData>
  <pageMargins left="0.7" right="0.7" top="0.75" bottom="0.75" header="0.3" footer="0.3"/>
</worksheet>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rc1</vt:lpstr>
      <vt:lpstr>LICENSE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Yeh</dc:creator>
  <cp:lastModifiedBy>Tom Yeh</cp:lastModifiedBy>
  <dcterms:created xsi:type="dcterms:W3CDTF">2024-11-14T02:34:03Z</dcterms:created>
  <dcterms:modified xsi:type="dcterms:W3CDTF">2024-11-19T15:56:09Z</dcterms:modified>
</cp:coreProperties>
</file>