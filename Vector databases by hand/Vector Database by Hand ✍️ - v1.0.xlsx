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ctorDatabase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6">
      <text>
        <t xml:space="preserve">Normalization is skipped for simplification. As a result, dot product only approximates cosine similarity.</t>
      </text>
    </comment>
  </commentList>
</comments>
</file>

<file path=xl/sharedStrings.xml><?xml version="1.0" encoding="utf-8"?>
<sst xmlns="http://schemas.openxmlformats.org/spreadsheetml/2006/main" count="108" uniqueCount="51">
  <si>
    <t>Vector Database</t>
  </si>
  <si>
    <t>Hide Answers</t>
  </si>
  <si>
    <t>Data</t>
  </si>
  <si>
    <t>how</t>
  </si>
  <si>
    <t>are</t>
  </si>
  <si>
    <t>you</t>
  </si>
  <si>
    <t>who</t>
  </si>
  <si>
    <t>am</t>
  </si>
  <si>
    <t>I</t>
  </si>
  <si>
    <t>Query</t>
  </si>
  <si>
    <t>Word Embeddings</t>
  </si>
  <si>
    <t>a</t>
  </si>
  <si>
    <t>an</t>
  </si>
  <si>
    <t>the</t>
  </si>
  <si>
    <t>why</t>
  </si>
  <si>
    <t>what</t>
  </si>
  <si>
    <t>is</t>
  </si>
  <si>
    <t>be</t>
  </si>
  <si>
    <t>was</t>
  </si>
  <si>
    <t>we</t>
  </si>
  <si>
    <t>they</t>
  </si>
  <si>
    <t>she</t>
  </si>
  <si>
    <t>he</t>
  </si>
  <si>
    <t>me</t>
  </si>
  <si>
    <t>him</t>
  </si>
  <si>
    <t>her</t>
  </si>
  <si>
    <t>Text Embeddings</t>
  </si>
  <si>
    <t>↓</t>
  </si>
  <si>
    <t>Linear</t>
  </si>
  <si>
    <t>→</t>
  </si>
  <si>
    <t>ReLU</t>
  </si>
  <si>
    <t>⌇</t>
  </si>
  <si>
    <t>Encoder</t>
  </si>
  <si>
    <t>↘</t>
  </si>
  <si>
    <t>↙</t>
  </si>
  <si>
    <t>Mean Pooling</t>
  </si>
  <si>
    <t>∑</t>
  </si>
  <si>
    <t>Indexing</t>
  </si>
  <si>
    <t>Projection</t>
  </si>
  <si>
    <t>Vector</t>
  </si>
  <si>
    <t>Storage</t>
  </si>
  <si>
    <t>Retrieval</t>
  </si>
  <si>
    <t>T</t>
  </si>
  <si>
    <t>Dot Products</t>
  </si>
  <si>
    <t>←</t>
  </si>
  <si>
    <t>Nearest Neighbor (argmax)</t>
  </si>
  <si>
    <t>AI by Hand  ✍️ © 2024 Tom Yeh</t>
  </si>
  <si>
    <t>Walkthrough</t>
  </si>
  <si>
    <t>https://by-hand.ai/vecdb</t>
  </si>
  <si>
    <t>Deep Dive</t>
  </si>
  <si>
    <t>https://towardsdatascience.com/deep-dive-into-vector-databases-by-hand-e9ab71f54f80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</si>
</sst>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?/?"/>
    <numFmt numFmtId="165" formatCode="m/d"/>
  </numFmts>
  <fonts count="16">
    <font>
      <sz val="10.0"/>
      <color rgb="FF000000"/>
      <name val="Arial"/>
      <scheme val="minor"/>
    </font>
    <font>
      <b/>
      <sz val="2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sz val="10.0"/>
      <color rgb="FF000000"/>
      <name val="Calibri"/>
    </font>
    <font>
      <sz val="14.0"/>
      <color rgb="FF000000"/>
      <name val="Calibri"/>
    </font>
    <font>
      <color theme="1"/>
      <name val="Architects Daughter"/>
    </font>
    <font>
      <sz val="8.0"/>
      <color theme="1"/>
      <name val="Arial"/>
      <scheme val="minor"/>
    </font>
    <font>
      <sz val="11.0"/>
      <color rgb="FF444444"/>
      <name val="Inherit"/>
    </font>
    <font>
      <sz val="19.0"/>
      <color rgb="FF444444"/>
      <name val="Inherit"/>
    </font>
    <font>
      <sz val="10.0"/>
      <color rgb="FF444444"/>
      <name val="Arial"/>
      <scheme val="minor"/>
    </font>
    <font>
      <b/>
      <sz val="14.0"/>
      <color theme="1"/>
      <name val="Arial"/>
      <scheme val="minor"/>
    </font>
    <font>
      <sz val="20.0"/>
      <color rgb="FF444444"/>
      <name val="Inherit"/>
    </font>
    <font>
      <sz val="12.0"/>
      <color theme="1"/>
      <name val="Arial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0" fillId="0" fontId="6" numFmtId="0" xfId="0" applyAlignment="1" applyFont="1">
      <alignment horizontal="center" readingOrder="0"/>
    </xf>
    <xf borderId="0" fillId="3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/>
    </xf>
    <xf borderId="3" fillId="0" fontId="6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4" fillId="0" fontId="6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0" fontId="6" numFmtId="0" xfId="0" applyAlignment="1" applyBorder="1" applyFont="1">
      <alignment horizontal="center" readingOrder="0"/>
    </xf>
    <xf borderId="1" fillId="4" fontId="5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horizontal="center"/>
    </xf>
    <xf borderId="7" fillId="0" fontId="2" numFmtId="0" xfId="0" applyBorder="1" applyFont="1"/>
    <xf borderId="6" fillId="0" fontId="2" numFmtId="0" xfId="0" applyBorder="1" applyFont="1"/>
    <xf borderId="0" fillId="0" fontId="2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9" numFmtId="12" xfId="0" applyAlignment="1" applyFont="1" applyNumberFormat="1">
      <alignment horizontal="center" readingOrder="0"/>
    </xf>
    <xf borderId="8" fillId="0" fontId="2" numFmtId="0" xfId="0" applyBorder="1" applyFont="1"/>
    <xf borderId="2" fillId="0" fontId="2" numFmtId="0" xfId="0" applyBorder="1" applyFont="1"/>
    <xf borderId="2" fillId="0" fontId="2" numFmtId="0" xfId="0" applyAlignment="1" applyBorder="1" applyFont="1">
      <alignment readingOrder="0"/>
    </xf>
    <xf borderId="2" fillId="0" fontId="10" numFmtId="0" xfId="0" applyAlignment="1" applyBorder="1" applyFont="1">
      <alignment readingOrder="0"/>
    </xf>
    <xf borderId="2" fillId="0" fontId="11" numFmtId="0" xfId="0" applyAlignment="1" applyBorder="1" applyFont="1">
      <alignment readingOrder="0"/>
    </xf>
    <xf borderId="2" fillId="0" fontId="2" numFmtId="12" xfId="0" applyAlignment="1" applyBorder="1" applyFont="1" applyNumberFormat="1">
      <alignment horizontal="center"/>
    </xf>
    <xf borderId="9" fillId="0" fontId="2" numFmtId="0" xfId="0" applyBorder="1" applyFont="1"/>
    <xf borderId="0" fillId="0" fontId="1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/>
    </xf>
    <xf borderId="1" fillId="3" fontId="7" numFmtId="164" xfId="0" applyAlignment="1" applyBorder="1" applyFont="1" applyNumberFormat="1">
      <alignment horizontal="center"/>
    </xf>
    <xf borderId="0" fillId="0" fontId="2" numFmtId="165" xfId="0" applyAlignment="1" applyFont="1" applyNumberFormat="1">
      <alignment readingOrder="0"/>
    </xf>
    <xf borderId="0" fillId="5" fontId="12" numFmtId="0" xfId="0" applyAlignment="1" applyFill="1" applyFont="1">
      <alignment readingOrder="0"/>
    </xf>
    <xf borderId="3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/>
    </xf>
    <xf borderId="4" fillId="0" fontId="7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 readingOrder="0"/>
    </xf>
    <xf borderId="1" fillId="5" fontId="7" numFmtId="164" xfId="0" applyAlignment="1" applyBorder="1" applyFont="1" applyNumberFormat="1">
      <alignment horizontal="center"/>
    </xf>
    <xf borderId="0" fillId="0" fontId="3" numFmtId="0" xfId="0" applyAlignment="1" applyFont="1">
      <alignment horizontal="center" readingOrder="0"/>
    </xf>
    <xf borderId="7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0" fillId="6" fontId="12" numFmtId="0" xfId="0" applyAlignment="1" applyFill="1" applyFont="1">
      <alignment readingOrder="0"/>
    </xf>
    <xf borderId="0" fillId="0" fontId="13" numFmtId="0" xfId="0" applyAlignment="1" applyFont="1">
      <alignment readingOrder="0"/>
    </xf>
    <xf borderId="1" fillId="0" fontId="7" numFmtId="164" xfId="0" applyAlignment="1" applyBorder="1" applyFont="1" applyNumberFormat="1">
      <alignment horizontal="center"/>
    </xf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1">
    <dxf>
      <font>
        <color rgb="FFFFFFFF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by-hand.ai/vecdb" TargetMode="External"/><Relationship Id="rId3" Type="http://schemas.openxmlformats.org/officeDocument/2006/relationships/hyperlink" Target="https://towardsdatascience.com/deep-dive-into-vector-databases-by-hand-e9ab71f54f80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.0"/>
    <col customWidth="1" min="3" max="8" width="3.25"/>
    <col customWidth="1" min="9" max="28" width="3.75"/>
  </cols>
  <sheetData>
    <row r="1">
      <c r="A1" s="1" t="s">
        <v>0</v>
      </c>
    </row>
    <row r="2">
      <c r="B2" s="2" t="b">
        <v>1</v>
      </c>
      <c r="C2" s="3" t="s">
        <v>1</v>
      </c>
    </row>
    <row r="3">
      <c r="G3" s="4" t="s">
        <v>2</v>
      </c>
      <c r="I3" s="5" t="s">
        <v>3</v>
      </c>
      <c r="J3" s="5" t="s">
        <v>4</v>
      </c>
      <c r="K3" s="5" t="s">
        <v>5</v>
      </c>
      <c r="L3" s="6"/>
      <c r="M3" s="5" t="s">
        <v>6</v>
      </c>
      <c r="N3" s="5" t="s">
        <v>4</v>
      </c>
      <c r="O3" s="5" t="s">
        <v>5</v>
      </c>
      <c r="P3" s="6"/>
      <c r="Q3" s="5" t="s">
        <v>6</v>
      </c>
      <c r="R3" s="5" t="s">
        <v>7</v>
      </c>
      <c r="S3" s="5" t="s">
        <v>8</v>
      </c>
      <c r="V3" s="4" t="s">
        <v>9</v>
      </c>
      <c r="X3" s="5" t="s">
        <v>3</v>
      </c>
      <c r="Y3" s="5" t="s">
        <v>4</v>
      </c>
      <c r="Z3" s="5" t="s">
        <v>5</v>
      </c>
    </row>
    <row r="4" ht="6.75" customHeight="1"/>
    <row r="5">
      <c r="B5" s="7" t="s">
        <v>10</v>
      </c>
    </row>
    <row r="6" ht="5.25" customHeight="1"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E7" s="9" t="s">
        <v>11</v>
      </c>
      <c r="F7" s="9" t="s">
        <v>12</v>
      </c>
      <c r="G7" s="9" t="s">
        <v>13</v>
      </c>
      <c r="H7" s="9" t="s">
        <v>3</v>
      </c>
      <c r="I7" s="9" t="s">
        <v>14</v>
      </c>
      <c r="J7" s="9" t="s">
        <v>6</v>
      </c>
      <c r="K7" s="9" t="s">
        <v>15</v>
      </c>
      <c r="L7" s="9" t="s">
        <v>4</v>
      </c>
      <c r="M7" s="9" t="s">
        <v>16</v>
      </c>
      <c r="N7" s="9" t="s">
        <v>7</v>
      </c>
      <c r="O7" s="9" t="s">
        <v>17</v>
      </c>
      <c r="P7" s="9" t="s">
        <v>18</v>
      </c>
      <c r="Q7" s="9" t="s">
        <v>5</v>
      </c>
      <c r="R7" s="9" t="s">
        <v>19</v>
      </c>
      <c r="S7" s="9" t="s">
        <v>8</v>
      </c>
      <c r="T7" s="9" t="s">
        <v>20</v>
      </c>
      <c r="U7" s="9" t="s">
        <v>21</v>
      </c>
      <c r="V7" s="9" t="s">
        <v>22</v>
      </c>
      <c r="W7" s="9" t="s">
        <v>21</v>
      </c>
      <c r="X7" s="9" t="s">
        <v>23</v>
      </c>
      <c r="Y7" s="9" t="s">
        <v>24</v>
      </c>
      <c r="Z7" s="9" t="s">
        <v>25</v>
      </c>
    </row>
    <row r="8">
      <c r="E8" s="10">
        <v>0.0</v>
      </c>
      <c r="F8" s="10">
        <v>-1.0</v>
      </c>
      <c r="G8" s="10">
        <v>0.0</v>
      </c>
      <c r="H8" s="10">
        <v>1.0</v>
      </c>
      <c r="I8" s="10">
        <v>0.0</v>
      </c>
      <c r="J8" s="10">
        <v>1.0</v>
      </c>
      <c r="K8" s="10">
        <v>0.0</v>
      </c>
      <c r="L8" s="10">
        <v>0.0</v>
      </c>
      <c r="M8" s="10">
        <v>-1.0</v>
      </c>
      <c r="N8" s="10">
        <v>1.0</v>
      </c>
      <c r="O8" s="10">
        <v>0.0</v>
      </c>
      <c r="P8" s="10">
        <v>0.0</v>
      </c>
      <c r="Q8" s="10">
        <v>0.0</v>
      </c>
      <c r="R8" s="10">
        <v>1.0</v>
      </c>
      <c r="S8" s="10">
        <v>1.0</v>
      </c>
      <c r="T8" s="10">
        <v>0.0</v>
      </c>
      <c r="U8" s="10">
        <v>-1.0</v>
      </c>
      <c r="V8" s="10">
        <v>0.0</v>
      </c>
      <c r="W8" s="10">
        <v>0.0</v>
      </c>
      <c r="X8" s="10">
        <v>0.0</v>
      </c>
      <c r="Y8" s="10">
        <v>-1.0</v>
      </c>
      <c r="Z8" s="10">
        <v>0.0</v>
      </c>
    </row>
    <row r="9">
      <c r="E9" s="10">
        <v>2.0</v>
      </c>
      <c r="F9" s="10">
        <v>0.0</v>
      </c>
      <c r="G9" s="10">
        <v>2.0</v>
      </c>
      <c r="H9" s="10">
        <v>0.0</v>
      </c>
      <c r="I9" s="10">
        <v>0.0</v>
      </c>
      <c r="J9" s="10">
        <v>0.0</v>
      </c>
      <c r="K9" s="10">
        <v>-1.0</v>
      </c>
      <c r="L9" s="10">
        <v>1.0</v>
      </c>
      <c r="M9" s="10">
        <v>0.0</v>
      </c>
      <c r="N9" s="10">
        <v>0.0</v>
      </c>
      <c r="O9" s="10">
        <v>0.0</v>
      </c>
      <c r="P9" s="10">
        <v>2.0</v>
      </c>
      <c r="Q9" s="10">
        <v>1.0</v>
      </c>
      <c r="R9" s="10">
        <v>0.0</v>
      </c>
      <c r="S9" s="10">
        <v>1.0</v>
      </c>
      <c r="T9" s="10">
        <v>0.0</v>
      </c>
      <c r="U9" s="10">
        <v>2.0</v>
      </c>
      <c r="V9" s="10">
        <v>0.0</v>
      </c>
      <c r="W9" s="10">
        <v>0.0</v>
      </c>
      <c r="X9" s="10">
        <v>2.0</v>
      </c>
      <c r="Y9" s="10">
        <v>0.0</v>
      </c>
      <c r="Z9" s="10">
        <v>0.0</v>
      </c>
    </row>
    <row r="10">
      <c r="E10" s="10">
        <v>-1.0</v>
      </c>
      <c r="F10" s="10">
        <v>0.0</v>
      </c>
      <c r="G10" s="10">
        <v>-1.0</v>
      </c>
      <c r="H10" s="10">
        <v>1.0</v>
      </c>
      <c r="I10" s="10">
        <v>2.0</v>
      </c>
      <c r="J10" s="10">
        <v>0.0</v>
      </c>
      <c r="K10" s="10">
        <v>0.0</v>
      </c>
      <c r="L10" s="10">
        <v>1.0</v>
      </c>
      <c r="M10" s="10">
        <v>0.0</v>
      </c>
      <c r="N10" s="10">
        <v>1.0</v>
      </c>
      <c r="O10" s="10">
        <v>-1.0</v>
      </c>
      <c r="P10" s="10">
        <v>0.0</v>
      </c>
      <c r="Q10" s="10">
        <v>0.0</v>
      </c>
      <c r="R10" s="10">
        <v>-1.0</v>
      </c>
      <c r="S10" s="10">
        <v>1.0</v>
      </c>
      <c r="T10" s="10">
        <v>3.0</v>
      </c>
      <c r="U10" s="10">
        <v>0.0</v>
      </c>
      <c r="V10" s="10">
        <v>0.0</v>
      </c>
      <c r="W10" s="10">
        <v>-1.0</v>
      </c>
      <c r="X10" s="10">
        <v>0.0</v>
      </c>
      <c r="Y10" s="10">
        <v>2.0</v>
      </c>
      <c r="Z10" s="10">
        <v>-1.0</v>
      </c>
    </row>
    <row r="11">
      <c r="E11" s="10">
        <v>0.0</v>
      </c>
      <c r="F11" s="10">
        <v>1.0</v>
      </c>
      <c r="G11" s="10">
        <v>0.0</v>
      </c>
      <c r="H11" s="10">
        <v>0.0</v>
      </c>
      <c r="I11" s="10">
        <v>1.0</v>
      </c>
      <c r="J11" s="10">
        <v>0.0</v>
      </c>
      <c r="K11" s="10">
        <v>1.0</v>
      </c>
      <c r="L11" s="10">
        <v>0.0</v>
      </c>
      <c r="M11" s="10">
        <v>1.0</v>
      </c>
      <c r="N11" s="10">
        <v>0.0</v>
      </c>
      <c r="O11" s="10">
        <v>1.0</v>
      </c>
      <c r="P11" s="10">
        <v>-2.0</v>
      </c>
      <c r="Q11" s="10">
        <v>0.0</v>
      </c>
      <c r="R11" s="10">
        <v>0.0</v>
      </c>
      <c r="S11" s="10">
        <v>0.0</v>
      </c>
      <c r="T11" s="10">
        <v>1.0</v>
      </c>
      <c r="U11" s="10">
        <v>0.0</v>
      </c>
      <c r="V11" s="10">
        <v>1.0</v>
      </c>
      <c r="W11" s="10">
        <v>0.0</v>
      </c>
      <c r="X11" s="10">
        <v>1.0</v>
      </c>
      <c r="Y11" s="10">
        <v>0.0</v>
      </c>
      <c r="Z11" s="10">
        <v>1.0</v>
      </c>
    </row>
    <row r="13">
      <c r="I13" s="11">
        <f t="shared" ref="I13:K13" si="1">HLOOKUP(I$3,$E$7:$Z$11,2,FALSE)</f>
        <v>1</v>
      </c>
      <c r="J13" s="11">
        <f t="shared" si="1"/>
        <v>0</v>
      </c>
      <c r="K13" s="11">
        <f t="shared" si="1"/>
        <v>0</v>
      </c>
      <c r="L13" s="6"/>
      <c r="M13" s="11">
        <f t="shared" ref="M13:O13" si="2">HLOOKUP(M$3,$E$7:$Z$11,2,FALSE)</f>
        <v>1</v>
      </c>
      <c r="N13" s="11">
        <f t="shared" si="2"/>
        <v>0</v>
      </c>
      <c r="O13" s="11">
        <f t="shared" si="2"/>
        <v>0</v>
      </c>
      <c r="P13" s="6"/>
      <c r="Q13" s="11">
        <f t="shared" ref="Q13:S13" si="3">HLOOKUP(Q$3,$E$7:$Z$11,2,FALSE)</f>
        <v>1</v>
      </c>
      <c r="R13" s="11">
        <f t="shared" si="3"/>
        <v>1</v>
      </c>
      <c r="S13" s="11">
        <f t="shared" si="3"/>
        <v>1</v>
      </c>
      <c r="T13" s="6"/>
      <c r="U13" s="6"/>
      <c r="V13" s="6"/>
      <c r="W13" s="6"/>
      <c r="X13" s="11">
        <f t="shared" ref="X13:Z13" si="4">HLOOKUP(X$3,$E$7:$Z$11,2,FALSE)</f>
        <v>1</v>
      </c>
      <c r="Y13" s="11">
        <f t="shared" si="4"/>
        <v>0</v>
      </c>
      <c r="Z13" s="11">
        <f t="shared" si="4"/>
        <v>0</v>
      </c>
    </row>
    <row r="14">
      <c r="I14" s="11">
        <f t="shared" ref="I14:K14" si="5">HLOOKUP(I$3,$E$7:$Z$11,3,FALSE)</f>
        <v>0</v>
      </c>
      <c r="J14" s="11">
        <f t="shared" si="5"/>
        <v>1</v>
      </c>
      <c r="K14" s="11">
        <f t="shared" si="5"/>
        <v>1</v>
      </c>
      <c r="L14" s="6"/>
      <c r="M14" s="11">
        <f t="shared" ref="M14:O14" si="6">HLOOKUP(M$3,$E$7:$Z$11,3,FALSE)</f>
        <v>0</v>
      </c>
      <c r="N14" s="11">
        <f t="shared" si="6"/>
        <v>1</v>
      </c>
      <c r="O14" s="11">
        <f t="shared" si="6"/>
        <v>1</v>
      </c>
      <c r="P14" s="6"/>
      <c r="Q14" s="11">
        <f t="shared" ref="Q14:S14" si="7">HLOOKUP(Q$3,$E$7:$Z$11,3,FALSE)</f>
        <v>0</v>
      </c>
      <c r="R14" s="11">
        <f t="shared" si="7"/>
        <v>0</v>
      </c>
      <c r="S14" s="11">
        <f t="shared" si="7"/>
        <v>1</v>
      </c>
      <c r="T14" s="6"/>
      <c r="U14" s="6"/>
      <c r="V14" s="6"/>
      <c r="W14" s="6"/>
      <c r="X14" s="11">
        <f t="shared" ref="X14:Z14" si="8">HLOOKUP(X$3,$E$7:$Z$11,3,FALSE)</f>
        <v>0</v>
      </c>
      <c r="Y14" s="11">
        <f t="shared" si="8"/>
        <v>1</v>
      </c>
      <c r="Z14" s="11">
        <f t="shared" si="8"/>
        <v>1</v>
      </c>
    </row>
    <row r="15">
      <c r="I15" s="11">
        <f t="shared" ref="I15:K15" si="9">HLOOKUP(I$3,$E$7:$Z$11,4,FALSE)</f>
        <v>1</v>
      </c>
      <c r="J15" s="11">
        <f t="shared" si="9"/>
        <v>1</v>
      </c>
      <c r="K15" s="11">
        <f t="shared" si="9"/>
        <v>0</v>
      </c>
      <c r="L15" s="6"/>
      <c r="M15" s="11">
        <f t="shared" ref="M15:O15" si="10">HLOOKUP(M$3,$E$7:$Z$11,4,FALSE)</f>
        <v>0</v>
      </c>
      <c r="N15" s="11">
        <f t="shared" si="10"/>
        <v>1</v>
      </c>
      <c r="O15" s="11">
        <f t="shared" si="10"/>
        <v>0</v>
      </c>
      <c r="P15" s="6"/>
      <c r="Q15" s="11">
        <f t="shared" ref="Q15:S15" si="11">HLOOKUP(Q$3,$E$7:$Z$11,4,FALSE)</f>
        <v>0</v>
      </c>
      <c r="R15" s="11">
        <f t="shared" si="11"/>
        <v>1</v>
      </c>
      <c r="S15" s="11">
        <f t="shared" si="11"/>
        <v>1</v>
      </c>
      <c r="T15" s="6"/>
      <c r="U15" s="6"/>
      <c r="V15" s="6"/>
      <c r="W15" s="6"/>
      <c r="X15" s="11">
        <f t="shared" ref="X15:Z15" si="12">HLOOKUP(X$3,$E$7:$Z$11,4,FALSE)</f>
        <v>1</v>
      </c>
      <c r="Y15" s="11">
        <f t="shared" si="12"/>
        <v>1</v>
      </c>
      <c r="Z15" s="11">
        <f t="shared" si="12"/>
        <v>0</v>
      </c>
    </row>
    <row r="16">
      <c r="I16" s="11">
        <f t="shared" ref="I16:K16" si="13">HLOOKUP(I$3,$E$7:$Z$11,5,FALSE)</f>
        <v>0</v>
      </c>
      <c r="J16" s="11">
        <f t="shared" si="13"/>
        <v>0</v>
      </c>
      <c r="K16" s="11">
        <f t="shared" si="13"/>
        <v>0</v>
      </c>
      <c r="L16" s="6"/>
      <c r="M16" s="11">
        <f t="shared" ref="M16:O16" si="14">HLOOKUP(M$3,$E$7:$Z$11,5,FALSE)</f>
        <v>0</v>
      </c>
      <c r="N16" s="11">
        <f t="shared" si="14"/>
        <v>0</v>
      </c>
      <c r="O16" s="11">
        <f t="shared" si="14"/>
        <v>0</v>
      </c>
      <c r="P16" s="6"/>
      <c r="Q16" s="11">
        <f t="shared" ref="Q16:S16" si="15">HLOOKUP(Q$3,$E$7:$Z$11,5,FALSE)</f>
        <v>0</v>
      </c>
      <c r="R16" s="11">
        <f t="shared" si="15"/>
        <v>0</v>
      </c>
      <c r="S16" s="11">
        <f t="shared" si="15"/>
        <v>0</v>
      </c>
      <c r="T16" s="6"/>
      <c r="U16" s="6"/>
      <c r="V16" s="6"/>
      <c r="W16" s="6"/>
      <c r="X16" s="11">
        <f t="shared" ref="X16:Z16" si="16">HLOOKUP(X$3,$E$7:$Z$11,5,FALSE)</f>
        <v>0</v>
      </c>
      <c r="Y16" s="11">
        <f t="shared" si="16"/>
        <v>0</v>
      </c>
      <c r="Z16" s="11">
        <f t="shared" si="16"/>
        <v>0</v>
      </c>
    </row>
    <row r="17">
      <c r="A17" s="12"/>
      <c r="D17" s="12"/>
      <c r="E17" s="12"/>
      <c r="F17" s="12"/>
      <c r="I17" s="2">
        <v>1.0</v>
      </c>
      <c r="J17" s="2">
        <v>1.0</v>
      </c>
      <c r="K17" s="2">
        <v>1.0</v>
      </c>
      <c r="L17" s="6"/>
      <c r="M17" s="2">
        <v>1.0</v>
      </c>
      <c r="N17" s="2">
        <v>1.0</v>
      </c>
      <c r="O17" s="2">
        <v>1.0</v>
      </c>
      <c r="P17" s="6"/>
      <c r="Q17" s="2">
        <v>1.0</v>
      </c>
      <c r="R17" s="2">
        <v>1.0</v>
      </c>
      <c r="S17" s="2">
        <v>1.0</v>
      </c>
      <c r="T17" s="6"/>
      <c r="U17" s="6"/>
      <c r="V17" s="6"/>
      <c r="W17" s="6"/>
      <c r="X17" s="2">
        <v>1.0</v>
      </c>
      <c r="Y17" s="2">
        <v>1.0</v>
      </c>
      <c r="Z17" s="2">
        <v>1.0</v>
      </c>
    </row>
    <row r="18">
      <c r="A18" s="12"/>
      <c r="B18" s="13" t="s">
        <v>26</v>
      </c>
      <c r="I18" s="2" t="s">
        <v>27</v>
      </c>
      <c r="J18" s="2" t="s">
        <v>27</v>
      </c>
      <c r="K18" s="2" t="s">
        <v>27</v>
      </c>
      <c r="L18" s="6"/>
      <c r="M18" s="2" t="s">
        <v>27</v>
      </c>
      <c r="N18" s="2" t="s">
        <v>27</v>
      </c>
      <c r="O18" s="2" t="s">
        <v>27</v>
      </c>
      <c r="P18" s="6"/>
      <c r="Q18" s="2" t="s">
        <v>27</v>
      </c>
      <c r="R18" s="2" t="s">
        <v>27</v>
      </c>
      <c r="S18" s="2" t="s">
        <v>27</v>
      </c>
      <c r="T18" s="6"/>
      <c r="U18" s="6"/>
      <c r="V18" s="6"/>
      <c r="W18" s="6"/>
      <c r="X18" s="2" t="s">
        <v>27</v>
      </c>
      <c r="Y18" s="2" t="s">
        <v>27</v>
      </c>
      <c r="Z18" s="2" t="s">
        <v>27</v>
      </c>
    </row>
    <row r="19" ht="9.0" customHeight="1">
      <c r="A19" s="12"/>
      <c r="B19" s="14"/>
      <c r="C19" s="14"/>
      <c r="D19" s="14"/>
      <c r="E19" s="14"/>
      <c r="F19" s="14"/>
      <c r="G19" s="14"/>
      <c r="I19" s="15"/>
      <c r="J19" s="15"/>
      <c r="K19" s="15"/>
      <c r="L19" s="16"/>
      <c r="M19" s="15"/>
      <c r="N19" s="15"/>
      <c r="O19" s="15"/>
      <c r="P19" s="16"/>
      <c r="Q19" s="15"/>
      <c r="R19" s="15"/>
      <c r="S19" s="15"/>
      <c r="T19" s="16"/>
      <c r="U19" s="16"/>
      <c r="V19" s="16"/>
      <c r="W19" s="16"/>
      <c r="X19" s="15"/>
      <c r="Y19" s="15"/>
      <c r="Z19" s="15"/>
    </row>
    <row r="20" ht="14.25" customHeight="1">
      <c r="A20" s="12"/>
      <c r="B20" s="17"/>
      <c r="C20" s="18" t="s">
        <v>28</v>
      </c>
      <c r="D20" s="19"/>
      <c r="E20" s="19"/>
      <c r="F20" s="19"/>
      <c r="G20" s="20"/>
      <c r="H20" s="20"/>
      <c r="I20" s="2"/>
      <c r="J20" s="2"/>
      <c r="K20" s="2"/>
      <c r="L20" s="6"/>
      <c r="M20" s="2"/>
      <c r="N20" s="2"/>
      <c r="O20" s="2"/>
      <c r="P20" s="6"/>
      <c r="Q20" s="2"/>
      <c r="R20" s="2"/>
      <c r="S20" s="2"/>
      <c r="T20" s="6"/>
      <c r="U20" s="6"/>
      <c r="V20" s="6"/>
      <c r="W20" s="6"/>
      <c r="X20" s="2"/>
      <c r="Y20" s="2"/>
      <c r="Z20" s="2"/>
      <c r="AA20" s="21"/>
    </row>
    <row r="21">
      <c r="A21" s="12"/>
      <c r="B21" s="22"/>
      <c r="C21" s="10">
        <v>1.0</v>
      </c>
      <c r="D21" s="10">
        <v>1.0</v>
      </c>
      <c r="E21" s="10">
        <v>-1.0</v>
      </c>
      <c r="F21" s="10">
        <v>0.0</v>
      </c>
      <c r="G21" s="23">
        <v>0.0</v>
      </c>
      <c r="H21" s="2" t="s">
        <v>29</v>
      </c>
      <c r="I21" s="24">
        <f t="array" ref="I21:K24">MMULT($C21:$G24,I13:K17)</f>
        <v>0</v>
      </c>
      <c r="J21" s="24">
        <v>0.0</v>
      </c>
      <c r="K21" s="24">
        <v>1.0</v>
      </c>
      <c r="L21" s="6"/>
      <c r="M21" s="24">
        <f t="array" ref="M21:O24">MMULT($C21:$G24,M13:O17)</f>
        <v>1</v>
      </c>
      <c r="N21" s="24">
        <v>0.0</v>
      </c>
      <c r="O21" s="24">
        <v>1.0</v>
      </c>
      <c r="P21" s="6"/>
      <c r="Q21" s="24">
        <f t="array" ref="Q21:S24">MMULT($C21:$G24,Q13:S17)</f>
        <v>1</v>
      </c>
      <c r="R21" s="24">
        <v>0.0</v>
      </c>
      <c r="S21" s="24">
        <v>1.0</v>
      </c>
      <c r="T21" s="6"/>
      <c r="U21" s="6"/>
      <c r="V21" s="6"/>
      <c r="W21" s="6"/>
      <c r="X21" s="24">
        <f t="array" ref="X21:Z24">MMULT($C21:$G24,X13:Z17)</f>
        <v>0</v>
      </c>
      <c r="Y21" s="24">
        <v>0.0</v>
      </c>
      <c r="Z21" s="24">
        <v>1.0</v>
      </c>
      <c r="AA21" s="25"/>
    </row>
    <row r="22">
      <c r="A22" s="12"/>
      <c r="B22" s="22"/>
      <c r="C22" s="10">
        <v>0.0</v>
      </c>
      <c r="D22" s="10">
        <v>1.0</v>
      </c>
      <c r="E22" s="10">
        <v>0.0</v>
      </c>
      <c r="F22" s="10">
        <v>1.0</v>
      </c>
      <c r="G22" s="23">
        <v>0.0</v>
      </c>
      <c r="H22" s="2" t="s">
        <v>29</v>
      </c>
      <c r="I22" s="24">
        <v>0.0</v>
      </c>
      <c r="J22" s="24">
        <v>1.0</v>
      </c>
      <c r="K22" s="24">
        <v>1.0</v>
      </c>
      <c r="L22" s="6"/>
      <c r="M22" s="24">
        <v>0.0</v>
      </c>
      <c r="N22" s="24">
        <v>1.0</v>
      </c>
      <c r="O22" s="24">
        <v>1.0</v>
      </c>
      <c r="P22" s="6"/>
      <c r="Q22" s="24">
        <v>0.0</v>
      </c>
      <c r="R22" s="24">
        <v>0.0</v>
      </c>
      <c r="S22" s="24">
        <v>1.0</v>
      </c>
      <c r="T22" s="6"/>
      <c r="U22" s="6"/>
      <c r="V22" s="6"/>
      <c r="W22" s="6"/>
      <c r="X22" s="24">
        <v>0.0</v>
      </c>
      <c r="Y22" s="24">
        <v>1.0</v>
      </c>
      <c r="Z22" s="24">
        <v>1.0</v>
      </c>
      <c r="AA22" s="25"/>
    </row>
    <row r="23">
      <c r="A23" s="12"/>
      <c r="B23" s="22"/>
      <c r="C23" s="10">
        <v>1.0</v>
      </c>
      <c r="D23" s="10">
        <v>0.0</v>
      </c>
      <c r="E23" s="10">
        <v>1.0</v>
      </c>
      <c r="F23" s="10">
        <v>0.0</v>
      </c>
      <c r="G23" s="23">
        <v>-1.0</v>
      </c>
      <c r="H23" s="2" t="s">
        <v>29</v>
      </c>
      <c r="I23" s="24">
        <v>1.0</v>
      </c>
      <c r="J23" s="24">
        <v>0.0</v>
      </c>
      <c r="K23" s="24">
        <v>-1.0</v>
      </c>
      <c r="L23" s="6"/>
      <c r="M23" s="24">
        <v>0.0</v>
      </c>
      <c r="N23" s="24">
        <v>0.0</v>
      </c>
      <c r="O23" s="24">
        <v>-1.0</v>
      </c>
      <c r="P23" s="6"/>
      <c r="Q23" s="24">
        <v>0.0</v>
      </c>
      <c r="R23" s="24">
        <v>1.0</v>
      </c>
      <c r="S23" s="24">
        <v>1.0</v>
      </c>
      <c r="T23" s="6"/>
      <c r="U23" s="6"/>
      <c r="V23" s="6"/>
      <c r="W23" s="6"/>
      <c r="X23" s="24">
        <v>1.0</v>
      </c>
      <c r="Y23" s="24">
        <v>0.0</v>
      </c>
      <c r="Z23" s="24">
        <v>-1.0</v>
      </c>
      <c r="AA23" s="25"/>
    </row>
    <row r="24">
      <c r="A24" s="12"/>
      <c r="B24" s="22"/>
      <c r="C24" s="10">
        <v>1.0</v>
      </c>
      <c r="D24" s="10">
        <v>-1.0</v>
      </c>
      <c r="E24" s="10">
        <v>0.0</v>
      </c>
      <c r="F24" s="10">
        <v>0.0</v>
      </c>
      <c r="G24" s="23">
        <v>0.0</v>
      </c>
      <c r="H24" s="2" t="s">
        <v>29</v>
      </c>
      <c r="I24" s="24">
        <v>1.0</v>
      </c>
      <c r="J24" s="24">
        <v>-1.0</v>
      </c>
      <c r="K24" s="24">
        <v>-1.0</v>
      </c>
      <c r="L24" s="6"/>
      <c r="M24" s="24">
        <v>1.0</v>
      </c>
      <c r="N24" s="24">
        <v>-1.0</v>
      </c>
      <c r="O24" s="24">
        <v>-1.0</v>
      </c>
      <c r="P24" s="6"/>
      <c r="Q24" s="24">
        <v>1.0</v>
      </c>
      <c r="R24" s="24">
        <v>1.0</v>
      </c>
      <c r="S24" s="24">
        <v>0.0</v>
      </c>
      <c r="T24" s="6"/>
      <c r="U24" s="6"/>
      <c r="V24" s="6"/>
      <c r="W24" s="6"/>
      <c r="X24" s="24">
        <v>1.0</v>
      </c>
      <c r="Y24" s="24">
        <v>-1.0</v>
      </c>
      <c r="Z24" s="24">
        <v>-1.0</v>
      </c>
      <c r="AA24" s="25"/>
    </row>
    <row r="25">
      <c r="B25" s="26"/>
      <c r="C25" s="27" t="s">
        <v>30</v>
      </c>
      <c r="H25" s="28"/>
      <c r="I25" s="29" t="s">
        <v>31</v>
      </c>
      <c r="J25" s="29" t="s">
        <v>31</v>
      </c>
      <c r="K25" s="29" t="s">
        <v>31</v>
      </c>
      <c r="L25" s="28"/>
      <c r="M25" s="29" t="s">
        <v>31</v>
      </c>
      <c r="N25" s="29" t="s">
        <v>31</v>
      </c>
      <c r="O25" s="29" t="s">
        <v>31</v>
      </c>
      <c r="P25" s="28"/>
      <c r="Q25" s="29" t="s">
        <v>31</v>
      </c>
      <c r="R25" s="29" t="s">
        <v>31</v>
      </c>
      <c r="S25" s="29" t="s">
        <v>31</v>
      </c>
      <c r="T25" s="6"/>
      <c r="U25" s="6"/>
      <c r="V25" s="6"/>
      <c r="W25" s="28"/>
      <c r="X25" s="29" t="s">
        <v>31</v>
      </c>
      <c r="Y25" s="29" t="s">
        <v>31</v>
      </c>
      <c r="Z25" s="29" t="s">
        <v>31</v>
      </c>
      <c r="AA25" s="25"/>
    </row>
    <row r="26">
      <c r="B26" s="26"/>
      <c r="C26" s="14" t="s">
        <v>32</v>
      </c>
      <c r="I26" s="24">
        <f t="shared" ref="I26:K26" si="17">max(I21,0)</f>
        <v>0</v>
      </c>
      <c r="J26" s="24">
        <f t="shared" si="17"/>
        <v>0</v>
      </c>
      <c r="K26" s="24">
        <f t="shared" si="17"/>
        <v>1</v>
      </c>
      <c r="L26" s="6"/>
      <c r="M26" s="24">
        <f t="shared" ref="M26:O26" si="18">max(M21,0)</f>
        <v>1</v>
      </c>
      <c r="N26" s="24">
        <f t="shared" si="18"/>
        <v>0</v>
      </c>
      <c r="O26" s="24">
        <f t="shared" si="18"/>
        <v>1</v>
      </c>
      <c r="P26" s="6"/>
      <c r="Q26" s="24">
        <f t="shared" ref="Q26:S26" si="19">max(Q21,0)</f>
        <v>1</v>
      </c>
      <c r="R26" s="24">
        <f t="shared" si="19"/>
        <v>0</v>
      </c>
      <c r="S26" s="24">
        <f t="shared" si="19"/>
        <v>1</v>
      </c>
      <c r="T26" s="6"/>
      <c r="U26" s="6"/>
      <c r="V26" s="6"/>
      <c r="W26" s="6"/>
      <c r="X26" s="24">
        <f t="shared" ref="X26:Z26" si="20">max(X21,0)</f>
        <v>0</v>
      </c>
      <c r="Y26" s="24">
        <f t="shared" si="20"/>
        <v>0</v>
      </c>
      <c r="Z26" s="24">
        <f t="shared" si="20"/>
        <v>1</v>
      </c>
      <c r="AA26" s="25"/>
    </row>
    <row r="27">
      <c r="B27" s="26"/>
      <c r="I27" s="24">
        <f t="shared" ref="I27:K27" si="21">max(I22,0)</f>
        <v>0</v>
      </c>
      <c r="J27" s="24">
        <f t="shared" si="21"/>
        <v>1</v>
      </c>
      <c r="K27" s="24">
        <f t="shared" si="21"/>
        <v>1</v>
      </c>
      <c r="L27" s="6"/>
      <c r="M27" s="24">
        <f t="shared" ref="M27:O27" si="22">max(M22,0)</f>
        <v>0</v>
      </c>
      <c r="N27" s="24">
        <f t="shared" si="22"/>
        <v>1</v>
      </c>
      <c r="O27" s="24">
        <f t="shared" si="22"/>
        <v>1</v>
      </c>
      <c r="P27" s="6"/>
      <c r="Q27" s="24">
        <f t="shared" ref="Q27:S27" si="23">max(Q22,0)</f>
        <v>0</v>
      </c>
      <c r="R27" s="24">
        <f t="shared" si="23"/>
        <v>0</v>
      </c>
      <c r="S27" s="24">
        <f t="shared" si="23"/>
        <v>1</v>
      </c>
      <c r="T27" s="6"/>
      <c r="U27" s="6"/>
      <c r="V27" s="6"/>
      <c r="W27" s="6"/>
      <c r="X27" s="24">
        <f t="shared" ref="X27:Z27" si="24">max(X22,0)</f>
        <v>0</v>
      </c>
      <c r="Y27" s="24">
        <f t="shared" si="24"/>
        <v>1</v>
      </c>
      <c r="Z27" s="24">
        <f t="shared" si="24"/>
        <v>1</v>
      </c>
      <c r="AA27" s="25"/>
    </row>
    <row r="28">
      <c r="B28" s="26"/>
      <c r="I28" s="24">
        <f t="shared" ref="I28:K28" si="25">max(I23,0)</f>
        <v>1</v>
      </c>
      <c r="J28" s="24">
        <f t="shared" si="25"/>
        <v>0</v>
      </c>
      <c r="K28" s="24">
        <f t="shared" si="25"/>
        <v>0</v>
      </c>
      <c r="L28" s="6"/>
      <c r="M28" s="24">
        <f t="shared" ref="M28:O28" si="26">max(M23,0)</f>
        <v>0</v>
      </c>
      <c r="N28" s="24">
        <f t="shared" si="26"/>
        <v>0</v>
      </c>
      <c r="O28" s="24">
        <f t="shared" si="26"/>
        <v>0</v>
      </c>
      <c r="P28" s="6"/>
      <c r="Q28" s="24">
        <f t="shared" ref="Q28:S28" si="27">max(Q23,0)</f>
        <v>0</v>
      </c>
      <c r="R28" s="24">
        <f t="shared" si="27"/>
        <v>1</v>
      </c>
      <c r="S28" s="24">
        <f t="shared" si="27"/>
        <v>1</v>
      </c>
      <c r="T28" s="6"/>
      <c r="U28" s="6"/>
      <c r="V28" s="6"/>
      <c r="W28" s="6"/>
      <c r="X28" s="24">
        <f t="shared" ref="X28:Z28" si="28">max(X23,0)</f>
        <v>1</v>
      </c>
      <c r="Y28" s="24">
        <f t="shared" si="28"/>
        <v>0</v>
      </c>
      <c r="Z28" s="24">
        <f t="shared" si="28"/>
        <v>0</v>
      </c>
      <c r="AA28" s="25"/>
    </row>
    <row r="29">
      <c r="B29" s="26"/>
      <c r="I29" s="24">
        <f t="shared" ref="I29:K29" si="29">max(I24,0)</f>
        <v>1</v>
      </c>
      <c r="J29" s="24">
        <f t="shared" si="29"/>
        <v>0</v>
      </c>
      <c r="K29" s="24">
        <f t="shared" si="29"/>
        <v>0</v>
      </c>
      <c r="L29" s="6"/>
      <c r="M29" s="24">
        <f t="shared" ref="M29:O29" si="30">max(M24,0)</f>
        <v>1</v>
      </c>
      <c r="N29" s="24">
        <f t="shared" si="30"/>
        <v>0</v>
      </c>
      <c r="O29" s="24">
        <f t="shared" si="30"/>
        <v>0</v>
      </c>
      <c r="P29" s="6"/>
      <c r="Q29" s="24">
        <f t="shared" ref="Q29:S29" si="31">max(Q24,0)</f>
        <v>1</v>
      </c>
      <c r="R29" s="24">
        <f t="shared" si="31"/>
        <v>1</v>
      </c>
      <c r="S29" s="24">
        <f t="shared" si="31"/>
        <v>0</v>
      </c>
      <c r="T29" s="6"/>
      <c r="U29" s="6"/>
      <c r="V29" s="6"/>
      <c r="W29" s="6"/>
      <c r="X29" s="24">
        <f t="shared" ref="X29:Z29" si="32">max(X24,0)</f>
        <v>1</v>
      </c>
      <c r="Y29" s="24">
        <f t="shared" si="32"/>
        <v>0</v>
      </c>
      <c r="Z29" s="24">
        <f t="shared" si="32"/>
        <v>0</v>
      </c>
      <c r="AA29" s="25"/>
    </row>
    <row r="30" ht="7.5" customHeight="1">
      <c r="B30" s="30"/>
      <c r="C30" s="31"/>
      <c r="D30" s="31"/>
      <c r="E30" s="31"/>
      <c r="F30" s="32"/>
      <c r="G30" s="31"/>
      <c r="H30" s="31"/>
      <c r="I30" s="33"/>
      <c r="J30" s="34"/>
      <c r="K30" s="34"/>
      <c r="L30" s="16"/>
      <c r="M30" s="16"/>
      <c r="N30" s="35"/>
      <c r="O30" s="16"/>
      <c r="P30" s="16"/>
      <c r="Q30" s="16"/>
      <c r="R30" s="35"/>
      <c r="S30" s="16"/>
      <c r="T30" s="16"/>
      <c r="U30" s="16"/>
      <c r="V30" s="16"/>
      <c r="W30" s="16"/>
      <c r="X30" s="16"/>
      <c r="Y30" s="35"/>
      <c r="Z30" s="16"/>
      <c r="AA30" s="36"/>
    </row>
    <row r="31">
      <c r="I31" s="37" t="s">
        <v>33</v>
      </c>
      <c r="J31" s="38" t="s">
        <v>27</v>
      </c>
      <c r="K31" s="37" t="s">
        <v>34</v>
      </c>
      <c r="L31" s="6"/>
      <c r="M31" s="37" t="s">
        <v>33</v>
      </c>
      <c r="N31" s="38" t="s">
        <v>27</v>
      </c>
      <c r="O31" s="37" t="s">
        <v>34</v>
      </c>
      <c r="P31" s="6"/>
      <c r="Q31" s="37" t="s">
        <v>33</v>
      </c>
      <c r="R31" s="38" t="s">
        <v>27</v>
      </c>
      <c r="S31" s="37" t="s">
        <v>34</v>
      </c>
      <c r="T31" s="6"/>
      <c r="U31" s="6"/>
      <c r="V31" s="6"/>
      <c r="W31" s="6"/>
      <c r="X31" s="37" t="s">
        <v>33</v>
      </c>
      <c r="Y31" s="38" t="s">
        <v>27</v>
      </c>
      <c r="Z31" s="37" t="s">
        <v>34</v>
      </c>
    </row>
    <row r="32">
      <c r="E32" s="27" t="s">
        <v>35</v>
      </c>
      <c r="I32" s="39"/>
      <c r="J32" s="40">
        <f t="shared" ref="J32:J35" si="33">sum(I26:K26)/3</f>
        <v>0.3333333333</v>
      </c>
      <c r="K32" s="39"/>
      <c r="L32" s="39"/>
      <c r="M32" s="39"/>
      <c r="N32" s="40">
        <f t="shared" ref="N32:N35" si="34">sum(M26:O26)/3</f>
        <v>0.6666666667</v>
      </c>
      <c r="O32" s="39"/>
      <c r="P32" s="39"/>
      <c r="Q32" s="39"/>
      <c r="R32" s="40">
        <f t="shared" ref="R32:R35" si="35">sum(Q26:S26)/3</f>
        <v>0.6666666667</v>
      </c>
      <c r="S32" s="39"/>
      <c r="T32" s="6"/>
      <c r="U32" s="6"/>
      <c r="V32" s="6"/>
      <c r="W32" s="6"/>
      <c r="X32" s="39"/>
      <c r="Y32" s="40">
        <f t="shared" ref="Y32:Y35" si="36">sum(X26:Z26)/3</f>
        <v>0.3333333333</v>
      </c>
      <c r="Z32" s="39"/>
    </row>
    <row r="33">
      <c r="F33" s="41">
        <v>45294.0</v>
      </c>
      <c r="G33" s="27" t="s">
        <v>36</v>
      </c>
      <c r="I33" s="39"/>
      <c r="J33" s="40">
        <f t="shared" si="33"/>
        <v>0.6666666667</v>
      </c>
      <c r="K33" s="39"/>
      <c r="L33" s="39"/>
      <c r="M33" s="39"/>
      <c r="N33" s="40">
        <f t="shared" si="34"/>
        <v>0.6666666667</v>
      </c>
      <c r="O33" s="39"/>
      <c r="P33" s="39"/>
      <c r="Q33" s="39"/>
      <c r="R33" s="40">
        <f t="shared" si="35"/>
        <v>0.3333333333</v>
      </c>
      <c r="S33" s="39"/>
      <c r="T33" s="6"/>
      <c r="U33" s="6"/>
      <c r="V33" s="6"/>
      <c r="W33" s="6"/>
      <c r="X33" s="39"/>
      <c r="Y33" s="40">
        <f t="shared" si="36"/>
        <v>0.6666666667</v>
      </c>
      <c r="Z33" s="39"/>
    </row>
    <row r="34">
      <c r="I34" s="39"/>
      <c r="J34" s="40">
        <f t="shared" si="33"/>
        <v>0.3333333333</v>
      </c>
      <c r="K34" s="39"/>
      <c r="L34" s="39"/>
      <c r="M34" s="39"/>
      <c r="N34" s="40">
        <f t="shared" si="34"/>
        <v>0</v>
      </c>
      <c r="O34" s="39"/>
      <c r="P34" s="39"/>
      <c r="Q34" s="39"/>
      <c r="R34" s="40">
        <f t="shared" si="35"/>
        <v>0.6666666667</v>
      </c>
      <c r="S34" s="39"/>
      <c r="T34" s="6"/>
      <c r="U34" s="6"/>
      <c r="V34" s="6"/>
      <c r="W34" s="6"/>
      <c r="X34" s="39"/>
      <c r="Y34" s="40">
        <f t="shared" si="36"/>
        <v>0.3333333333</v>
      </c>
      <c r="Z34" s="39"/>
    </row>
    <row r="35">
      <c r="I35" s="39"/>
      <c r="J35" s="40">
        <f t="shared" si="33"/>
        <v>0.3333333333</v>
      </c>
      <c r="K35" s="39"/>
      <c r="L35" s="39"/>
      <c r="M35" s="39"/>
      <c r="N35" s="40">
        <f t="shared" si="34"/>
        <v>0.3333333333</v>
      </c>
      <c r="O35" s="39"/>
      <c r="P35" s="39"/>
      <c r="Q35" s="39"/>
      <c r="R35" s="40">
        <f t="shared" si="35"/>
        <v>0.6666666667</v>
      </c>
      <c r="S35" s="39"/>
      <c r="T35" s="6"/>
      <c r="U35" s="6"/>
      <c r="V35" s="6"/>
      <c r="W35" s="6"/>
      <c r="X35" s="39"/>
      <c r="Y35" s="40">
        <f t="shared" si="36"/>
        <v>0.3333333333</v>
      </c>
      <c r="Z35" s="39"/>
    </row>
    <row r="36">
      <c r="B36" s="42" t="s">
        <v>37</v>
      </c>
      <c r="F36" s="27" t="s">
        <v>38</v>
      </c>
      <c r="I36" s="6"/>
      <c r="J36" s="2" t="s">
        <v>27</v>
      </c>
      <c r="K36" s="6"/>
      <c r="L36" s="6"/>
      <c r="M36" s="6"/>
      <c r="N36" s="2" t="s">
        <v>27</v>
      </c>
      <c r="O36" s="6"/>
      <c r="P36" s="6"/>
      <c r="Q36" s="6"/>
      <c r="R36" s="2" t="s">
        <v>27</v>
      </c>
      <c r="S36" s="6"/>
      <c r="T36" s="6"/>
      <c r="U36" s="6"/>
      <c r="V36" s="6"/>
      <c r="W36" s="6"/>
      <c r="X36" s="6"/>
      <c r="Y36" s="2" t="s">
        <v>27</v>
      </c>
      <c r="Z36" s="6"/>
    </row>
    <row r="37" ht="7.5" customHeight="1">
      <c r="E37" s="8"/>
      <c r="F37" s="8"/>
      <c r="G37" s="8"/>
      <c r="H37" s="8"/>
      <c r="I37" s="43"/>
      <c r="J37" s="44"/>
      <c r="K37" s="45"/>
      <c r="L37" s="45"/>
      <c r="M37" s="45"/>
      <c r="N37" s="44"/>
      <c r="O37" s="45"/>
      <c r="P37" s="45"/>
      <c r="Q37" s="45"/>
      <c r="R37" s="46"/>
      <c r="S37" s="45"/>
      <c r="T37" s="45"/>
      <c r="U37" s="45"/>
      <c r="V37" s="47"/>
      <c r="W37" s="6"/>
      <c r="X37" s="6"/>
      <c r="Y37" s="39"/>
      <c r="Z37" s="6"/>
    </row>
    <row r="38">
      <c r="D38" s="10">
        <v>1.0</v>
      </c>
      <c r="E38" s="10">
        <v>1.0</v>
      </c>
      <c r="F38" s="10">
        <v>0.0</v>
      </c>
      <c r="G38" s="10">
        <v>0.0</v>
      </c>
      <c r="H38" s="48" t="s">
        <v>29</v>
      </c>
      <c r="I38" s="48"/>
      <c r="J38" s="49">
        <f t="array" ref="J38:J39">MMULT($D38:$G39,J32:J35)</f>
        <v>1</v>
      </c>
      <c r="K38" s="6"/>
      <c r="L38" s="6"/>
      <c r="M38" s="6"/>
      <c r="N38" s="49">
        <f t="array" ref="N38:N39">MMULT($D38:$G39,N32:N35)</f>
        <v>1.333333333</v>
      </c>
      <c r="O38" s="6"/>
      <c r="P38" s="6"/>
      <c r="Q38" s="6"/>
      <c r="R38" s="49">
        <f t="array" ref="R38:R39">MMULT($D38:$G39,R32:R35)</f>
        <v>1</v>
      </c>
      <c r="S38" s="6"/>
      <c r="T38" s="50" t="s">
        <v>39</v>
      </c>
      <c r="U38" s="6"/>
      <c r="V38" s="51"/>
      <c r="W38" s="6"/>
      <c r="X38" s="6"/>
      <c r="Y38" s="49">
        <f t="array" ref="Y38:Y39">MMULT($D38:$G39,Y32:Y35)</f>
        <v>1</v>
      </c>
      <c r="Z38" s="6"/>
    </row>
    <row r="39">
      <c r="D39" s="10">
        <v>0.0</v>
      </c>
      <c r="E39" s="10">
        <v>0.0</v>
      </c>
      <c r="F39" s="10">
        <v>1.0</v>
      </c>
      <c r="G39" s="10">
        <v>1.0</v>
      </c>
      <c r="H39" s="48" t="s">
        <v>29</v>
      </c>
      <c r="I39" s="48"/>
      <c r="J39" s="49">
        <v>0.6666666666666666</v>
      </c>
      <c r="K39" s="6"/>
      <c r="L39" s="6"/>
      <c r="M39" s="6"/>
      <c r="N39" s="49">
        <v>0.3333333333333333</v>
      </c>
      <c r="O39" s="6"/>
      <c r="P39" s="6"/>
      <c r="Q39" s="6"/>
      <c r="R39" s="49">
        <v>1.3333333333333333</v>
      </c>
      <c r="S39" s="6"/>
      <c r="T39" s="50" t="s">
        <v>40</v>
      </c>
      <c r="U39" s="6"/>
      <c r="V39" s="51"/>
      <c r="W39" s="6"/>
      <c r="X39" s="6"/>
      <c r="Y39" s="49">
        <v>0.6666666666666666</v>
      </c>
      <c r="Z39" s="6"/>
    </row>
    <row r="40" ht="8.25" customHeight="1">
      <c r="I40" s="52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53"/>
      <c r="W40" s="6"/>
      <c r="X40" s="6"/>
      <c r="Y40" s="6"/>
      <c r="Z40" s="6"/>
    </row>
    <row r="41">
      <c r="B41" s="54" t="s">
        <v>41</v>
      </c>
      <c r="I41" s="6"/>
      <c r="J41" s="44" t="s">
        <v>27</v>
      </c>
      <c r="K41" s="6"/>
      <c r="L41" s="6"/>
      <c r="M41" s="6"/>
      <c r="N41" s="44" t="s">
        <v>27</v>
      </c>
      <c r="O41" s="6"/>
      <c r="P41" s="6"/>
      <c r="Q41" s="6"/>
      <c r="R41" s="44" t="s">
        <v>27</v>
      </c>
      <c r="S41" s="6"/>
      <c r="T41" s="6"/>
      <c r="U41" s="6"/>
      <c r="V41" s="6"/>
      <c r="W41" s="6"/>
      <c r="X41" s="6"/>
      <c r="Y41" s="55" t="s">
        <v>42</v>
      </c>
      <c r="Z41" s="6"/>
    </row>
    <row r="42">
      <c r="F42" s="27" t="s">
        <v>43</v>
      </c>
      <c r="I42" s="6"/>
      <c r="J42" s="56">
        <f t="array" ref="J42">MMULT($V42:$W42,J38:J39)</f>
        <v>1.444444444</v>
      </c>
      <c r="K42" s="39"/>
      <c r="L42" s="39"/>
      <c r="M42" s="39"/>
      <c r="N42" s="56">
        <f t="array" ref="N42">MMULT($V42:$W42,N38:N39)</f>
        <v>1.555555556</v>
      </c>
      <c r="O42" s="39"/>
      <c r="P42" s="39"/>
      <c r="Q42" s="39"/>
      <c r="R42" s="56">
        <f t="array" ref="R42">MMULT($V42:$W42,R38:R39)</f>
        <v>1.888888889</v>
      </c>
      <c r="S42" s="6"/>
      <c r="T42" s="6"/>
      <c r="U42" s="2" t="s">
        <v>44</v>
      </c>
      <c r="V42" s="56">
        <f t="array" ref="V42:W42">TRANSPOSE(Y38:Y39)</f>
        <v>1</v>
      </c>
      <c r="W42" s="56">
        <v>0.6666666666666666</v>
      </c>
      <c r="X42" s="6"/>
      <c r="Z42" s="2"/>
    </row>
    <row r="43"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C44" s="27" t="s">
        <v>45</v>
      </c>
      <c r="I44" s="6"/>
      <c r="J44" s="24" t="str">
        <f>if(J42=max($J42:$R42),"Y","")</f>
        <v/>
      </c>
      <c r="K44" s="6"/>
      <c r="L44" s="6"/>
      <c r="M44" s="6"/>
      <c r="N44" s="24" t="str">
        <f>if(N42=max($J42:$R42),"Y","")</f>
        <v/>
      </c>
      <c r="O44" s="6"/>
      <c r="P44" s="6"/>
      <c r="Q44" s="6"/>
      <c r="R44" s="24" t="str">
        <f>if(R42=max($J42:$R42),"Y","")</f>
        <v>Y</v>
      </c>
      <c r="S44" s="6"/>
      <c r="T44" s="6"/>
      <c r="U44" s="6"/>
      <c r="V44" s="2"/>
      <c r="W44" s="6"/>
      <c r="X44" s="6"/>
      <c r="Y44" s="6"/>
      <c r="Z44" s="6"/>
    </row>
    <row r="46">
      <c r="A46" s="57" t="s">
        <v>46</v>
      </c>
    </row>
    <row r="47">
      <c r="B47" s="27" t="s">
        <v>47</v>
      </c>
      <c r="F47" s="58" t="s">
        <v>48</v>
      </c>
    </row>
    <row r="48">
      <c r="B48" s="27" t="s">
        <v>49</v>
      </c>
      <c r="F48" s="58" t="s">
        <v>50</v>
      </c>
    </row>
  </sheetData>
  <mergeCells count="9">
    <mergeCell ref="B41:D41"/>
    <mergeCell ref="A46:AB46"/>
    <mergeCell ref="A1:AB1"/>
    <mergeCell ref="B5:G5"/>
    <mergeCell ref="B18:G18"/>
    <mergeCell ref="C26:F27"/>
    <mergeCell ref="B36:D36"/>
    <mergeCell ref="F36:H36"/>
    <mergeCell ref="Y41:Y42"/>
  </mergeCells>
  <conditionalFormatting sqref="I21:K24 M21:O24 Q21:S24 X21:Z24 I26:K29 M26:O29 Q26:S29 X26:Z29 J32:J35 N32:N35 R32:R35 Y32:Y35 J38:J39 N38:N39 R38:R39 Y38:Y39 J42 N42 R42 V42:W42 J44 N44 R44">
    <cfRule type="expression" dxfId="0" priority="1">
      <formula>$B$2=TRUE</formula>
    </cfRule>
  </conditionalFormatting>
  <hyperlinks>
    <hyperlink r:id="rId2" ref="F47"/>
    <hyperlink r:id="rId3" ref="F48"/>
  </hyperlinks>
  <drawing r:id="rId4"/>
  <legacyDrawing r:id="rId5"/>
</worksheet>
</file>